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rics_Note" sheetId="3" state="visible" r:id="rId3"/>
  </sheets>
  <definedNames>
    <definedName name="_xlnm._FilterDatabase" localSheetId="0" hidden="1">'Journals'!$A$1:$U$29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D366B"/>
      <sz val="14"/>
    </font>
    <font>
      <name val="Calibri"/>
      <i val="1"/>
      <color rgb="0052514E"/>
      <sz val="9"/>
    </font>
  </fonts>
  <fills count="3">
    <fill>
      <patternFill/>
    </fill>
    <fill>
      <patternFill patternType="gray125"/>
    </fill>
    <fill>
      <patternFill patternType="solid">
        <fgColor rgb="00184F95"/>
      </patternFill>
    </fill>
  </fills>
  <borders count="2">
    <border>
      <left/>
      <right/>
      <top/>
      <bottom/>
      <diagonal/>
    </border>
    <border>
      <bottom style="thin">
        <color rgb="00D9D8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6F0DF"/>
        </patternFill>
      </fill>
    </dxf>
    <dxf>
      <fill>
        <patternFill patternType="solid">
          <fgColor rgb="00E3EEFB"/>
        </patternFill>
      </fill>
    </dxf>
    <dxf>
      <fill>
        <patternFill patternType="solid">
          <fgColor rgb="00FCEBC7"/>
        </patternFill>
      </fill>
    </dxf>
    <dxf>
      <fill>
        <patternFill patternType="solid">
          <fgColor rgb="00EEEE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44" customWidth="1" min="4" max="4"/>
    <col width="11" customWidth="1" min="5" max="5"/>
    <col width="11" customWidth="1" min="6" max="6"/>
    <col width="30" customWidth="1" min="7" max="7"/>
    <col width="36" customWidth="1" min="8" max="8"/>
    <col width="36" customWidth="1" min="9" max="9"/>
    <col width="30" customWidth="1" min="10" max="10"/>
    <col width="26" customWidth="1" min="11" max="11"/>
    <col width="38" customWidth="1" min="12" max="12"/>
    <col width="11" customWidth="1" min="13" max="13"/>
    <col width="10" customWidth="1" min="14" max="14"/>
    <col width="11" customWidth="1" min="15" max="15"/>
    <col width="10" customWidth="1" min="16" max="16"/>
    <col width="22" customWidth="1" min="17" max="17"/>
    <col width="13" customWidth="1" min="18" max="18"/>
    <col width="10" customWidth="1" min="19" max="19"/>
    <col width="18" customWidth="1" min="20" max="20"/>
    <col width="40" customWidth="1" min="21" max="21"/>
  </cols>
  <sheetData>
    <row r="1" ht="34" customHeight="1">
      <c r="A1" s="1" t="inlineStr">
        <is>
          <t>Journal</t>
        </is>
      </c>
      <c r="B1" s="1" t="inlineStr">
        <is>
          <t>Tier</t>
        </is>
      </c>
      <c r="C1" s="1" t="inlineStr">
        <is>
          <t>Publisher</t>
        </is>
      </c>
      <c r="D1" s="1" t="inlineStr">
        <is>
          <t>Scope</t>
        </is>
      </c>
      <c r="E1" s="1" t="inlineStr">
        <is>
          <t>Quant Finance Relevance (1-5)</t>
        </is>
      </c>
      <c r="F1" s="1" t="inlineStr">
        <is>
          <t>ML Relevance (1-5)</t>
        </is>
      </c>
      <c r="G1" s="1" t="inlineStr">
        <is>
          <t>Recent Related Papers (IDs)</t>
        </is>
      </c>
      <c r="H1" s="1" t="inlineStr">
        <is>
          <t>Typical Methodology</t>
        </is>
      </c>
      <c r="I1" s="1" t="inlineStr">
        <is>
          <t>Empirical Expectations</t>
        </is>
      </c>
      <c r="J1" s="1" t="inlineStr">
        <is>
          <t>Theory Expectations</t>
        </is>
      </c>
      <c r="K1" s="1" t="inlineStr">
        <is>
          <t>Data Expectations</t>
        </is>
      </c>
      <c r="L1" s="1" t="inlineStr">
        <is>
          <t>Code / Data Policy</t>
        </is>
      </c>
      <c r="M1" s="1" t="inlineStr">
        <is>
          <t>Acceptance Difficulty (1-5)</t>
        </is>
      </c>
      <c r="N1" s="1" t="inlineStr">
        <is>
          <t>Fit Score (1-10)</t>
        </is>
      </c>
      <c r="O1" s="1" t="inlineStr">
        <is>
          <t>Priority Index (formula)</t>
        </is>
      </c>
      <c r="P1" s="1" t="inlineStr">
        <is>
          <t>Priority Rank (formula)</t>
        </is>
      </c>
      <c r="Q1" s="1" t="inlineStr">
        <is>
          <t>Target / Stretch / Backup</t>
        </is>
      </c>
      <c r="R1" s="1" t="inlineStr">
        <is>
          <t>OpenAlex 2-yr Mean Citedness (Sep 2026)</t>
        </is>
      </c>
      <c r="S1" s="1" t="inlineStr">
        <is>
          <t>OpenAlex h-index</t>
        </is>
      </c>
      <c r="T1" s="1" t="inlineStr">
        <is>
          <t>Clarivate JIF</t>
        </is>
      </c>
      <c r="U1" s="1" t="inlineStr">
        <is>
          <t>Notes</t>
        </is>
      </c>
    </row>
    <row r="2">
      <c r="A2" s="2" t="inlineStr">
        <is>
          <t>Journal of Finance</t>
        </is>
      </c>
      <c r="B2" s="2" t="inlineStr">
        <is>
          <t>Tier 1 - General finance (top-3)</t>
        </is>
      </c>
      <c r="C2" s="2" t="inlineStr">
        <is>
          <t>Wiley / American Finance Association</t>
        </is>
      </c>
      <c r="D2" s="2" t="inlineStr">
        <is>
          <t>All areas of finance; publishes the field's most general contributions in asset pricing and investments.</t>
        </is>
      </c>
      <c r="E2" s="3" t="n">
        <v>4</v>
      </c>
      <c r="F2" s="3" t="n">
        <v>4</v>
      </c>
      <c r="G2" s="2" t="inlineStr">
        <is>
          <t>KMZ2024; JKX2023; KMP2023; BPZ2025; JKP2023; DMU2024; DNMV2023; MP2016; GP2013</t>
        </is>
      </c>
      <c r="H2" s="2" t="inlineStr">
        <is>
          <t>Economically motivated empirical designs, often with a model or clear economic mechanism; ML accepted when it answers an economic question.</t>
        </is>
      </c>
      <c r="I2" s="2" t="inlineStr">
        <is>
          <t>Very long samples (decades), CRSP/Compustat standard, extensive robustness, international or out-of-sample replication increasingly common.</t>
        </is>
      </c>
      <c r="J2" s="2" t="inlineStr">
        <is>
          <t>Not strictly required, but a mechanism or theoretical framing strongly helps; pure horse races rarely suffice.</t>
        </is>
      </c>
      <c r="K2" s="2" t="inlineStr">
        <is>
          <t>Standard academic data (WRDS); proprietary data accepted if documented.</t>
        </is>
      </c>
      <c r="L2" s="2" t="inlineStr">
        <is>
          <t>Verified: AFA Data and Code Sharing Policy (April 2024 version) requires programs for replication from accepted empirical papers.</t>
        </is>
      </c>
      <c r="M2" s="3" t="n">
        <v>5</v>
      </c>
      <c r="N2" s="3" t="n">
        <v>7</v>
      </c>
      <c r="O2" s="3">
        <f>ROUND(0.6*N2+0.8*AVERAGE(E2:F2)-0.3*M2,2)</f>
        <v/>
      </c>
      <c r="P2" s="3">
        <f>RANK(O2,$O$2:$O$29)</f>
        <v/>
      </c>
      <c r="Q2" s="2" t="inlineStr">
        <is>
          <t>Stretch</t>
        </is>
      </c>
      <c r="R2" s="3" t="n">
        <v>13.19</v>
      </c>
      <c r="S2" s="3" t="n">
        <v>664</v>
      </c>
      <c r="T2" s="2" t="inlineStr">
        <is>
          <t>Not verified - check Clarivate JCR</t>
        </is>
      </c>
      <c r="U2" s="2" t="inlineStr">
        <is>
          <t>Fit only if the paper delivers a general economic insight (e.g., where ML value comes from and why) rather than a better backtest.</t>
        </is>
      </c>
    </row>
    <row r="3">
      <c r="A3" s="2" t="inlineStr">
        <is>
          <t>Review of Financial Studies</t>
        </is>
      </c>
      <c r="B3" s="2" t="inlineStr">
        <is>
          <t>Tier 1 - General finance (top-3)</t>
        </is>
      </c>
      <c r="C3" s="2" t="inlineStr">
        <is>
          <t>Oxford University Press / Society for Financial Studies</t>
        </is>
      </c>
      <c r="D3" s="2" t="inlineStr">
        <is>
          <t>Broad financial economics; strong record in empirical asset pricing and ML (Gu-Kelly-Xiu 2020; JKMP 2026).</t>
        </is>
      </c>
      <c r="E3" s="3" t="n">
        <v>4</v>
      </c>
      <c r="F3" s="3" t="n">
        <v>5</v>
      </c>
      <c r="G3" s="2" t="inlineStr">
        <is>
          <t>GKX2020; JKMP2026; DMNU2020; FNW2020; HKS2020; NMV2016; LW2017; BS2022; HXZ2020; HLZ2016</t>
        </is>
      </c>
      <c r="H3" s="2" t="inlineStr">
        <is>
          <t>Rigorous empirical asset pricing; ML papers must show economic content and robustness.</t>
        </is>
      </c>
      <c r="I3" s="2" t="inlineStr">
        <is>
          <t>Comprehensive samples, strong baselines, transaction costs expected for investment claims, replication package.</t>
        </is>
      </c>
      <c r="J3" s="2" t="inlineStr">
        <is>
          <t>Helpful; an economic framework or model of why the effect exists is expected for top placement.</t>
        </is>
      </c>
      <c r="K3" s="2" t="inlineStr">
        <is>
          <t>WRDS-standard; code and data package reviewed by Data Editors.</t>
        </is>
      </c>
      <c r="L3" s="2" t="inlineStr">
        <is>
          <t>Verified: updated Code and Data Sharing Policy for submissions conditionally accepted on/after 1 Oct 2025; Data Editors check reproducibility; deposit in Harvard Dataverse.</t>
        </is>
      </c>
      <c r="M3" s="3" t="n">
        <v>5</v>
      </c>
      <c r="N3" s="3" t="n">
        <v>8</v>
      </c>
      <c r="O3" s="3">
        <f>ROUND(0.6*N3+0.8*AVERAGE(E3:F3)-0.3*M3,2)</f>
        <v/>
      </c>
      <c r="P3" s="3">
        <f>RANK(O3,$O$2:$O$29)</f>
        <v/>
      </c>
      <c r="Q3" s="2" t="inlineStr">
        <is>
          <t>Stretch</t>
        </is>
      </c>
      <c r="R3" s="3" t="n">
        <v>11.81</v>
      </c>
      <c r="S3" s="3" t="n">
        <v>397</v>
      </c>
      <c r="T3" s="2" t="inlineStr">
        <is>
          <t>Not verified - check Clarivate JCR</t>
        </is>
      </c>
      <c r="U3" s="2" t="inlineStr">
        <is>
          <t>Most natural top-3 home for an implementability/decomposition paper given GKX2020, DMNU2020 and JKMP2026 precedents.</t>
        </is>
      </c>
    </row>
    <row r="4">
      <c r="A4" s="2" t="inlineStr">
        <is>
          <t>Journal of Financial Economics</t>
        </is>
      </c>
      <c r="B4" s="2" t="inlineStr">
        <is>
          <t>Tier 1 - General finance (top-3)</t>
        </is>
      </c>
      <c r="C4" s="2" t="inlineStr">
        <is>
          <t>Elsevier</t>
        </is>
      </c>
      <c r="D4" s="2" t="inlineStr">
        <is>
          <t>Financial economics broadly; empirical and theoretical.</t>
        </is>
      </c>
      <c r="E4" s="3" t="n">
        <v>3</v>
      </c>
      <c r="F4" s="3" t="n">
        <v>4</v>
      </c>
      <c r="G4" s="2" t="inlineStr">
        <is>
          <t>KPS2019; KNS2020; LWZ2022; CDS2020; CFHH2025; DM2016; PW2020; SYY2012</t>
        </is>
      </c>
      <c r="H4" s="2" t="inlineStr">
        <is>
          <t>Economic mechanism-driven empirical work.</t>
        </is>
      </c>
      <c r="I4" s="2" t="inlineStr">
        <is>
          <t>Long samples, identification of economic channel, robustness.</t>
        </is>
      </c>
      <c r="J4" s="2" t="inlineStr">
        <is>
          <t>Mechanism expected.</t>
        </is>
      </c>
      <c r="K4" s="2" t="inlineStr">
        <is>
          <t>WRDS-standard.</t>
        </is>
      </c>
      <c r="L4" s="2" t="inlineStr">
        <is>
          <t>Policy page exists (jfinec.com/data-and-code-sharing-policy); details verify.</t>
        </is>
      </c>
      <c r="M4" s="3" t="n">
        <v>5</v>
      </c>
      <c r="N4" s="3" t="n">
        <v>6</v>
      </c>
      <c r="O4" s="3">
        <f>ROUND(0.6*N4+0.8*AVERAGE(E4:F4)-0.3*M4,2)</f>
        <v/>
      </c>
      <c r="P4" s="3">
        <f>RANK(O4,$O$2:$O$29)</f>
        <v/>
      </c>
      <c r="Q4" s="2" t="inlineStr">
        <is>
          <t>Stretch</t>
        </is>
      </c>
      <c r="R4" s="3" t="n">
        <v>12.37</v>
      </c>
      <c r="S4" s="3" t="n">
        <v>557</v>
      </c>
      <c r="T4" s="2" t="inlineStr">
        <is>
          <t>Not verified - check Clarivate JCR</t>
        </is>
      </c>
      <c r="U4" s="2" t="inlineStr">
        <is>
          <t>Less natural for methods-heavy portfolio construction papers than RFS/MS.</t>
        </is>
      </c>
    </row>
    <row r="5">
      <c r="A5" s="2" t="inlineStr">
        <is>
          <t>Journal of Financial and Quantitative Analysis</t>
        </is>
      </c>
      <c r="B5" s="2" t="inlineStr">
        <is>
          <t>Tier 1b - Top field finance</t>
        </is>
      </c>
      <c r="C5" s="2" t="inlineStr">
        <is>
          <t>Cambridge University Press / U. Washington</t>
        </is>
      </c>
      <c r="D5" s="2" t="inlineStr">
        <is>
          <t>Verified (jfqa.org): theoretical and empirical research in financial economics, including investments, capital and security markets, and quantitative methods of particular relevance to financial researchers.</t>
        </is>
      </c>
      <c r="E5" s="3" t="n">
        <v>5</v>
      </c>
      <c r="F5" s="3" t="n">
        <v>4</v>
      </c>
      <c r="G5" s="2" t="inlineStr">
        <is>
          <t>CV2023; KO2012; KZ2007</t>
        </is>
      </c>
      <c r="H5" s="2" t="inlineStr">
        <is>
          <t>Rigorous empirical and quantitative methods; explicitly welcomes quantitative methods.</t>
        </is>
      </c>
      <c r="I5" s="2" t="inlineStr">
        <is>
          <t>Comparable to top-3 in rigor; somewhat narrower contribution acceptable.</t>
        </is>
      </c>
      <c r="J5" s="2" t="inlineStr">
        <is>
          <t>Not required for empirical methods papers with clear economic implications.</t>
        </is>
      </c>
      <c r="K5" s="2" t="inlineStr">
        <is>
          <t>WRDS-standard.</t>
        </is>
      </c>
      <c r="L5" s="2" t="inlineStr">
        <is>
          <t>Verified: JFQA Code Sharing Policy page exists; details verify.</t>
        </is>
      </c>
      <c r="M5" s="3" t="n">
        <v>4</v>
      </c>
      <c r="N5" s="3" t="n">
        <v>9</v>
      </c>
      <c r="O5" s="3">
        <f>ROUND(0.6*N5+0.8*AVERAGE(E5:F5)-0.3*M5,2)</f>
        <v/>
      </c>
      <c r="P5" s="3">
        <f>RANK(O5,$O$2:$O$29)</f>
        <v/>
      </c>
      <c r="Q5" s="2" t="inlineStr">
        <is>
          <t>Target</t>
        </is>
      </c>
      <c r="R5" s="3" t="n">
        <v>3.39</v>
      </c>
      <c r="S5" s="3" t="n">
        <v>255</v>
      </c>
      <c r="T5" s="2" t="inlineStr">
        <is>
          <t>Not verified - check Clarivate JCR</t>
        </is>
      </c>
      <c r="U5" s="2" t="inlineStr">
        <is>
          <t>Best realistic high-quality target: quantitative methods mandate plus finance audience.</t>
        </is>
      </c>
    </row>
    <row r="6">
      <c r="A6" s="2" t="inlineStr">
        <is>
          <t>Management Science</t>
        </is>
      </c>
      <c r="B6" s="2" t="inlineStr">
        <is>
          <t>Tier 1b - Top field finance / OR</t>
        </is>
      </c>
      <c r="C6" s="2" t="inlineStr">
        <is>
          <t>INFORMS</t>
        </is>
      </c>
      <c r="D6" s="2" t="inlineStr">
        <is>
          <t>Management broadly; Finance department publishes empirical asset pricing and ML (Chen-Pelger-Zhu 2024; Avramov-Cheng-Metzker 2023).</t>
        </is>
      </c>
      <c r="E6" s="3" t="n">
        <v>4</v>
      </c>
      <c r="F6" s="3" t="n">
        <v>5</v>
      </c>
      <c r="G6" s="2" t="inlineStr">
        <is>
          <t>CPZ2024; ACM2023; EG2022; BCZ2022</t>
        </is>
      </c>
      <c r="H6" s="2" t="inlineStr">
        <is>
          <t>Methodological innovation with managerial/economic relevance; interdisciplinary ML/OR welcome.</t>
        </is>
      </c>
      <c r="I6" s="2" t="inlineStr">
        <is>
          <t>Strong out-of-sample and robustness; replication package reviewed.</t>
        </is>
      </c>
      <c r="J6" s="2" t="inlineStr">
        <is>
          <t>Not required; methodological or economic insight required.</t>
        </is>
      </c>
      <c r="K6" s="2" t="inlineStr">
        <is>
          <t>WRDS-standard; must be disclosable per policy.</t>
        </is>
      </c>
      <c r="L6" s="2" t="inlineStr">
        <is>
          <t>Verified: Code and Data Disclosure Policy adopted 2019 with a Data Editor who verifies replicability.</t>
        </is>
      </c>
      <c r="M6" s="3" t="n">
        <v>4</v>
      </c>
      <c r="N6" s="3" t="n">
        <v>9</v>
      </c>
      <c r="O6" s="3">
        <f>ROUND(0.6*N6+0.8*AVERAGE(E6:F6)-0.3*M6,2)</f>
        <v/>
      </c>
      <c r="P6" s="3">
        <f>RANK(O6,$O$2:$O$29)</f>
        <v/>
      </c>
      <c r="Q6" s="2" t="inlineStr">
        <is>
          <t>Target</t>
        </is>
      </c>
      <c r="R6" s="3" t="n">
        <v>6.23</v>
      </c>
      <c r="S6" s="3" t="n">
        <v>480</v>
      </c>
      <c r="T6" s="2" t="inlineStr">
        <is>
          <t>Not verified - check Clarivate JCR</t>
        </is>
      </c>
      <c r="U6" s="2" t="inlineStr">
        <is>
          <t>Strong fit for a design that bridges ML, optimisation and finance.</t>
        </is>
      </c>
    </row>
    <row r="7">
      <c r="A7" s="2" t="inlineStr">
        <is>
          <t>Review of Finance</t>
        </is>
      </c>
      <c r="B7" s="2" t="inlineStr">
        <is>
          <t>Tier 1b - Top field finance</t>
        </is>
      </c>
      <c r="C7" s="2" t="inlineStr">
        <is>
          <t>Oxford University Press / European Finance Association</t>
        </is>
      </c>
      <c r="D7" s="2" t="inlineStr">
        <is>
          <t>General finance (European Finance Association journal).</t>
        </is>
      </c>
      <c r="E7" s="3" t="n">
        <v>3</v>
      </c>
      <c r="F7" s="3" t="n">
        <v>3</v>
      </c>
      <c r="G7" s="2" t="inlineStr">
        <is>
          <t>(search for recent ML asset-pricing papers before targeting)</t>
        </is>
      </c>
      <c r="H7" s="2" t="inlineStr">
        <is>
          <t>General finance standards.</t>
        </is>
      </c>
      <c r="I7" s="2" t="inlineStr">
        <is>
          <t>High.</t>
        </is>
      </c>
      <c r="J7" s="2" t="inlineStr">
        <is>
          <t>Helpful.</t>
        </is>
      </c>
      <c r="K7" s="2" t="inlineStr">
        <is>
          <t>Standard.</t>
        </is>
      </c>
      <c r="L7" s="2" t="inlineStr">
        <is>
          <t>Verified: Code Sharing and Data Availability Policy page exists (revfin.org).</t>
        </is>
      </c>
      <c r="M7" s="3" t="n">
        <v>4</v>
      </c>
      <c r="N7" s="3" t="n">
        <v>7</v>
      </c>
      <c r="O7" s="3">
        <f>ROUND(0.6*N7+0.8*AVERAGE(E7:F7)-0.3*M7,2)</f>
        <v/>
      </c>
      <c r="P7" s="3">
        <f>RANK(O7,$O$2:$O$29)</f>
        <v/>
      </c>
      <c r="Q7" s="2" t="inlineStr">
        <is>
          <t>Target</t>
        </is>
      </c>
      <c r="R7" s="3" t="inlineStr">
        <is>
          <t>n/a</t>
        </is>
      </c>
      <c r="S7" s="3" t="inlineStr">
        <is>
          <t>n/a</t>
        </is>
      </c>
      <c r="T7" s="2" t="inlineStr">
        <is>
          <t>Not verified - check Clarivate JCR</t>
        </is>
      </c>
      <c r="U7" s="2" t="inlineStr">
        <is>
          <t>OpenAlex search did not return this title cleanly; verify metrics.</t>
        </is>
      </c>
    </row>
    <row r="8">
      <c r="A8" s="2" t="inlineStr">
        <is>
          <t>Review of Asset Pricing Studies</t>
        </is>
      </c>
      <c r="B8" s="2" t="inlineStr">
        <is>
          <t>Tier 1b - Top field finance</t>
        </is>
      </c>
      <c r="C8" s="2" t="inlineStr">
        <is>
          <t>Oxford University Press / SFS</t>
        </is>
      </c>
      <c r="D8" s="2" t="inlineStr">
        <is>
          <t>Asset pricing (SFS field journal).</t>
        </is>
      </c>
      <c r="E8" s="3" t="n">
        <v>4</v>
      </c>
      <c r="F8" s="3" t="n">
        <v>4</v>
      </c>
      <c r="G8" s="2" t="inlineStr">
        <is>
          <t>KNNV2024</t>
        </is>
      </c>
      <c r="H8" s="2" t="inlineStr">
        <is>
          <t>Asset-pricing empirical and theory.</t>
        </is>
      </c>
      <c r="I8" s="2" t="inlineStr">
        <is>
          <t>High.</t>
        </is>
      </c>
      <c r="J8" s="2" t="inlineStr">
        <is>
          <t>Helpful.</t>
        </is>
      </c>
      <c r="K8" s="2" t="inlineStr">
        <is>
          <t>WRDS-standard.</t>
        </is>
      </c>
      <c r="L8" s="2" t="inlineStr">
        <is>
          <t>SFS journal; verify policy.</t>
        </is>
      </c>
      <c r="M8" s="3" t="n">
        <v>4</v>
      </c>
      <c r="N8" s="3" t="n">
        <v>8</v>
      </c>
      <c r="O8" s="3">
        <f>ROUND(0.6*N8+0.8*AVERAGE(E8:F8)-0.3*M8,2)</f>
        <v/>
      </c>
      <c r="P8" s="3">
        <f>RANK(O8,$O$2:$O$29)</f>
        <v/>
      </c>
      <c r="Q8" s="2" t="inlineStr">
        <is>
          <t>Target</t>
        </is>
      </c>
      <c r="R8" s="3" t="n">
        <v>4.3</v>
      </c>
      <c r="S8" s="3" t="n">
        <v>49</v>
      </c>
      <c r="T8" s="2" t="inlineStr">
        <is>
          <t>Not verified - check Clarivate JCR</t>
        </is>
      </c>
      <c r="U8" s="2" t="inlineStr">
        <is>
          <t>Good home for factor-timing / signal-efficacy concepts.</t>
        </is>
      </c>
    </row>
    <row r="9">
      <c r="A9" s="2" t="inlineStr">
        <is>
          <t>Operations Research</t>
        </is>
      </c>
      <c r="B9" s="2" t="inlineStr">
        <is>
          <t>Tier 1b - Top OR</t>
        </is>
      </c>
      <c r="C9" s="2" t="inlineStr">
        <is>
          <t>INFORMS</t>
        </is>
      </c>
      <c r="D9" s="2" t="inlineStr">
        <is>
          <t>OR methods incl. financial engineering; robust and data-driven optimisation.</t>
        </is>
      </c>
      <c r="E9" s="3" t="n">
        <v>3</v>
      </c>
      <c r="F9" s="3" t="n">
        <v>4</v>
      </c>
      <c r="G9" s="2" t="inlineStr">
        <is>
          <t>DY2010</t>
        </is>
      </c>
      <c r="H9" s="2" t="inlineStr">
        <is>
          <t>Novel optimisation/learning methodology with guarantees.</t>
        </is>
      </c>
      <c r="I9" s="2" t="inlineStr">
        <is>
          <t>Computational experiments; finance data used as application.</t>
        </is>
      </c>
      <c r="J9" s="2" t="inlineStr">
        <is>
          <t>Usually expected (algorithms, guarantees).</t>
        </is>
      </c>
      <c r="K9" s="2" t="inlineStr">
        <is>
          <t>Flexible.</t>
        </is>
      </c>
      <c r="L9" s="2" t="inlineStr">
        <is>
          <t>Verify.</t>
        </is>
      </c>
      <c r="M9" s="3" t="n">
        <v>5</v>
      </c>
      <c r="N9" s="3" t="n">
        <v>5</v>
      </c>
      <c r="O9" s="3">
        <f>ROUND(0.6*N9+0.8*AVERAGE(E9:F9)-0.3*M9,2)</f>
        <v/>
      </c>
      <c r="P9" s="3">
        <f>RANK(O9,$O$2:$O$29)</f>
        <v/>
      </c>
      <c r="Q9" s="2" t="inlineStr">
        <is>
          <t>Backup (method variant)</t>
        </is>
      </c>
      <c r="R9" s="3" t="n">
        <v>3.48</v>
      </c>
      <c r="S9" s="3" t="n">
        <v>304</v>
      </c>
      <c r="T9" s="2" t="inlineStr">
        <is>
          <t>Not verified - check Clarivate JCR</t>
        </is>
      </c>
      <c r="U9" s="2" t="inlineStr">
        <is>
          <t>Only for the differentiable/robust optimiser concept with theoretical results.</t>
        </is>
      </c>
    </row>
    <row r="10">
      <c r="A10" s="2" t="inlineStr">
        <is>
          <t>Quantitative Finance</t>
        </is>
      </c>
      <c r="B10" s="2" t="inlineStr">
        <is>
          <t>Tier 2 - Quantitative/computational finance</t>
        </is>
      </c>
      <c r="C10" s="2" t="inlineStr">
        <is>
          <t>Taylor &amp; Francis</t>
        </is>
      </c>
      <c r="D10" s="2" t="inlineStr">
        <is>
          <t>Interdisciplinary quantitative finance; aims list includes portfolio management, market dynamics and prediction, trading systems, financial econometrics, market microstructure.</t>
        </is>
      </c>
      <c r="E10" s="3" t="n">
        <v>5</v>
      </c>
      <c r="F10" s="3" t="n">
        <v>4</v>
      </c>
      <c r="G10" s="2" t="inlineStr">
        <is>
          <t>BK2023; CI2023; NML2018</t>
        </is>
      </c>
      <c r="H10" s="2" t="inlineStr">
        <is>
          <t>Quantitative/mathematical methods with empirical validation.</t>
        </is>
      </c>
      <c r="I10" s="2" t="inlineStr">
        <is>
          <t>Moderate-to-high; costs expected for trading claims.</t>
        </is>
      </c>
      <c r="J10" s="2" t="inlineStr">
        <is>
          <t>Welcome, not mandatory.</t>
        </is>
      </c>
      <c r="K10" s="2" t="inlineStr">
        <is>
          <t>Flexible.</t>
        </is>
      </c>
      <c r="L10" s="2" t="inlineStr">
        <is>
          <t>Verify.</t>
        </is>
      </c>
      <c r="M10" s="3" t="n">
        <v>3</v>
      </c>
      <c r="N10" s="3" t="n">
        <v>9</v>
      </c>
      <c r="O10" s="3">
        <f>ROUND(0.6*N10+0.8*AVERAGE(E10:F10)-0.3*M10,2)</f>
        <v/>
      </c>
      <c r="P10" s="3">
        <f>RANK(O10,$O$2:$O$29)</f>
        <v/>
      </c>
      <c r="Q10" s="2" t="inlineStr">
        <is>
          <t>Target</t>
        </is>
      </c>
      <c r="R10" s="3" t="n">
        <v>2.46</v>
      </c>
      <c r="S10" s="3" t="n">
        <v>113</v>
      </c>
      <c r="T10" s="2" t="inlineStr">
        <is>
          <t>Not verified - check Clarivate JCR</t>
        </is>
      </c>
      <c r="U10" s="2" t="inlineStr">
        <is>
          <t>Third-party sites report a 2025 JIF around 1.9 (unverified; check JCR).</t>
        </is>
      </c>
    </row>
    <row r="11">
      <c r="A11" s="2" t="inlineStr">
        <is>
          <t>Journal of Financial Econometrics</t>
        </is>
      </c>
      <c r="B11" s="2" t="inlineStr">
        <is>
          <t>Tier 2 - Quantitative/computational finance</t>
        </is>
      </c>
      <c r="C11" s="2" t="inlineStr">
        <is>
          <t>Oxford University Press / SoFiE</t>
        </is>
      </c>
      <c r="D11" s="2" t="inlineStr">
        <is>
          <t>Financial econometrics.</t>
        </is>
      </c>
      <c r="E11" s="3" t="n">
        <v>5</v>
      </c>
      <c r="F11" s="3" t="n">
        <v>4</v>
      </c>
      <c r="G11" s="2" t="inlineStr">
        <is>
          <t>(verify recent ML papers)</t>
        </is>
      </c>
      <c r="H11" s="2" t="inlineStr">
        <is>
          <t>Econometric rigor; inference emphasis.</t>
        </is>
      </c>
      <c r="I11" s="2" t="inlineStr">
        <is>
          <t>High for inference.</t>
        </is>
      </c>
      <c r="J11" s="2" t="inlineStr">
        <is>
          <t>Econometric theory valued.</t>
        </is>
      </c>
      <c r="K11" s="2" t="inlineStr">
        <is>
          <t>Flexible.</t>
        </is>
      </c>
      <c r="L11" s="2" t="inlineStr">
        <is>
          <t>Verify.</t>
        </is>
      </c>
      <c r="M11" s="3" t="n">
        <v>4</v>
      </c>
      <c r="N11" s="3" t="n">
        <v>7</v>
      </c>
      <c r="O11" s="3">
        <f>ROUND(0.6*N11+0.8*AVERAGE(E11:F11)-0.3*M11,2)</f>
        <v/>
      </c>
      <c r="P11" s="3">
        <f>RANK(O11,$O$2:$O$29)</f>
        <v/>
      </c>
      <c r="Q11" s="2" t="inlineStr">
        <is>
          <t>Target (inference-heavy variant)</t>
        </is>
      </c>
      <c r="R11" s="3" t="n">
        <v>1.22</v>
      </c>
      <c r="S11" s="3" t="n">
        <v>77</v>
      </c>
      <c r="T11" s="2" t="inlineStr">
        <is>
          <t>Not verified - check Clarivate JCR</t>
        </is>
      </c>
      <c r="U11" s="2" t="inlineStr">
        <is>
          <t>Fits if inference framework (SPA/MCS for decomposition) is a core contribution.</t>
        </is>
      </c>
    </row>
    <row r="12">
      <c r="A12" s="2" t="inlineStr">
        <is>
          <t>Journal of Econometrics</t>
        </is>
      </c>
      <c r="B12" s="2" t="inlineStr">
        <is>
          <t>Tier 2 - Econometrics (top)</t>
        </is>
      </c>
      <c r="C12" s="2" t="inlineStr">
        <is>
          <t>Elsevier</t>
        </is>
      </c>
      <c r="D12" s="2" t="inlineStr">
        <is>
          <t>Econometric methodology.</t>
        </is>
      </c>
      <c r="E12" s="3" t="n">
        <v>3</v>
      </c>
      <c r="F12" s="3" t="n">
        <v>4</v>
      </c>
      <c r="G12" s="2" t="inlineStr">
        <is>
          <t>GKX2021; CW2007; KP2015</t>
        </is>
      </c>
      <c r="H12" s="2" t="inlineStr">
        <is>
          <t>New econometric methods with theory.</t>
        </is>
      </c>
      <c r="I12" s="2" t="inlineStr">
        <is>
          <t>Application.</t>
        </is>
      </c>
      <c r="J12" s="2" t="inlineStr">
        <is>
          <t>Required.</t>
        </is>
      </c>
      <c r="K12" s="2" t="inlineStr">
        <is>
          <t>Flexible.</t>
        </is>
      </c>
      <c r="L12" s="2" t="inlineStr">
        <is>
          <t>Verify.</t>
        </is>
      </c>
      <c r="M12" s="3" t="n">
        <v>5</v>
      </c>
      <c r="N12" s="3" t="n">
        <v>4</v>
      </c>
      <c r="O12" s="3">
        <f>ROUND(0.6*N12+0.8*AVERAGE(E12:F12)-0.3*M12,2)</f>
        <v/>
      </c>
      <c r="P12" s="3">
        <f>RANK(O12,$O$2:$O$29)</f>
        <v/>
      </c>
      <c r="Q12" s="2" t="inlineStr">
        <is>
          <t>Not recommended (unless new estimator)</t>
        </is>
      </c>
      <c r="R12" s="3" t="n">
        <v>2.95</v>
      </c>
      <c r="S12" s="3" t="n">
        <v>333</v>
      </c>
      <c r="T12" s="2" t="inlineStr">
        <is>
          <t>Not verified - check Clarivate JCR</t>
        </is>
      </c>
      <c r="U12" s="2" t="inlineStr">
        <is>
          <t>Needs formal econometric contribution.</t>
        </is>
      </c>
    </row>
    <row r="13">
      <c r="A13" s="2" t="inlineStr">
        <is>
          <t>Journal of Business &amp; Economic Statistics</t>
        </is>
      </c>
      <c r="B13" s="2" t="inlineStr">
        <is>
          <t>Tier 2 - Econometrics</t>
        </is>
      </c>
      <c r="C13" s="2" t="inlineStr">
        <is>
          <t>Taylor &amp; Francis / ASA</t>
        </is>
      </c>
      <c r="D13" s="2" t="inlineStr">
        <is>
          <t>Applied statistics and econometrics.</t>
        </is>
      </c>
      <c r="E13" s="3" t="n">
        <v>3</v>
      </c>
      <c r="F13" s="3" t="n">
        <v>4</v>
      </c>
      <c r="G13" s="2" t="inlineStr">
        <is>
          <t>HAN2005; DM1995</t>
        </is>
      </c>
      <c r="H13" s="2" t="inlineStr">
        <is>
          <t>Statistical methods with applications.</t>
        </is>
      </c>
      <c r="I13" s="2" t="inlineStr">
        <is>
          <t>Moderate.</t>
        </is>
      </c>
      <c r="J13" s="2" t="inlineStr">
        <is>
          <t>Often.</t>
        </is>
      </c>
      <c r="K13" s="2" t="inlineStr">
        <is>
          <t>Flexible.</t>
        </is>
      </c>
      <c r="L13" s="2" t="inlineStr">
        <is>
          <t>Verify.</t>
        </is>
      </c>
      <c r="M13" s="3" t="n">
        <v>4</v>
      </c>
      <c r="N13" s="3" t="n">
        <v>5</v>
      </c>
      <c r="O13" s="3">
        <f>ROUND(0.6*N13+0.8*AVERAGE(E13:F13)-0.3*M13,2)</f>
        <v/>
      </c>
      <c r="P13" s="3">
        <f>RANK(O13,$O$2:$O$29)</f>
        <v/>
      </c>
      <c r="Q13" s="2" t="inlineStr">
        <is>
          <t>Backup (inference variant)</t>
        </is>
      </c>
      <c r="R13" s="3" t="n">
        <v>1.86</v>
      </c>
      <c r="S13" s="3" t="n">
        <v>234</v>
      </c>
      <c r="T13" s="2" t="inlineStr">
        <is>
          <t>Not verified - check Clarivate JCR</t>
        </is>
      </c>
      <c r="U13" s="2" t="inlineStr"/>
    </row>
    <row r="14">
      <c r="A14" s="2" t="inlineStr">
        <is>
          <t>International Journal of Forecasting</t>
        </is>
      </c>
      <c r="B14" s="2" t="inlineStr">
        <is>
          <t>Tier 2 - Forecasting</t>
        </is>
      </c>
      <c r="C14" s="2" t="inlineStr">
        <is>
          <t>Elsevier / International Institute of Forecasters</t>
        </is>
      </c>
      <c r="D14" s="2" t="inlineStr">
        <is>
          <t>Forecasting methods and evaluation, incl. forecast combination.</t>
        </is>
      </c>
      <c r="E14" s="3" t="n">
        <v>3</v>
      </c>
      <c r="F14" s="3" t="n">
        <v>5</v>
      </c>
      <c r="G14" s="2" t="inlineStr">
        <is>
          <t>(forecast combination literature)</t>
        </is>
      </c>
      <c r="H14" s="2" t="inlineStr">
        <is>
          <t>Forecast evaluation rigor; combination methods.</t>
        </is>
      </c>
      <c r="I14" s="2" t="inlineStr">
        <is>
          <t>Moderate-high.</t>
        </is>
      </c>
      <c r="J14" s="2" t="inlineStr">
        <is>
          <t>Optional.</t>
        </is>
      </c>
      <c r="K14" s="2" t="inlineStr">
        <is>
          <t>Flexible.</t>
        </is>
      </c>
      <c r="L14" s="2" t="inlineStr">
        <is>
          <t>Verify.</t>
        </is>
      </c>
      <c r="M14" s="3" t="n">
        <v>3</v>
      </c>
      <c r="N14" s="3" t="n">
        <v>7</v>
      </c>
      <c r="O14" s="3">
        <f>ROUND(0.6*N14+0.8*AVERAGE(E14:F14)-0.3*M14,2)</f>
        <v/>
      </c>
      <c r="P14" s="3">
        <f>RANK(O14,$O$2:$O$29)</f>
        <v/>
      </c>
      <c r="Q14" s="2" t="inlineStr">
        <is>
          <t>Target (combination-focused variant)</t>
        </is>
      </c>
      <c r="R14" s="3" t="n">
        <v>3.79</v>
      </c>
      <c r="S14" s="3" t="n">
        <v>188</v>
      </c>
      <c r="T14" s="2" t="inlineStr">
        <is>
          <t>Not verified - check Clarivate JCR</t>
        </is>
      </c>
      <c r="U14" s="2" t="inlineStr">
        <is>
          <t>Fits a dynamic forecast-combination paper; must still show economic value.</t>
        </is>
      </c>
    </row>
    <row r="15">
      <c r="A15" s="2" t="inlineStr">
        <is>
          <t>European Journal of Operational Research</t>
        </is>
      </c>
      <c r="B15" s="2" t="inlineStr">
        <is>
          <t>Tier 2 - OR (high-volume)</t>
        </is>
      </c>
      <c r="C15" s="2" t="inlineStr">
        <is>
          <t>Elsevier</t>
        </is>
      </c>
      <c r="D15" s="2" t="inlineStr">
        <is>
          <t>OR incl. financial modelling and portfolio optimisation.</t>
        </is>
      </c>
      <c r="E15" s="3" t="n">
        <v>4</v>
      </c>
      <c r="F15" s="3" t="n">
        <v>5</v>
      </c>
      <c r="G15" s="2" t="inlineStr">
        <is>
          <t>FK2018; KDH2017; BAMS2014</t>
        </is>
      </c>
      <c r="H15" s="2" t="inlineStr">
        <is>
          <t>OR/ML methods with finance applications.</t>
        </is>
      </c>
      <c r="I15" s="2" t="inlineStr">
        <is>
          <t>Moderate; transaction costs increasingly expected.</t>
        </is>
      </c>
      <c r="J15" s="2" t="inlineStr">
        <is>
          <t>Optional.</t>
        </is>
      </c>
      <c r="K15" s="2" t="inlineStr">
        <is>
          <t>Flexible.</t>
        </is>
      </c>
      <c r="L15" s="2" t="inlineStr">
        <is>
          <t>Verify.</t>
        </is>
      </c>
      <c r="M15" s="3" t="n">
        <v>3</v>
      </c>
      <c r="N15" s="3" t="n">
        <v>7</v>
      </c>
      <c r="O15" s="3">
        <f>ROUND(0.6*N15+0.8*AVERAGE(E15:F15)-0.3*M15,2)</f>
        <v/>
      </c>
      <c r="P15" s="3">
        <f>RANK(O15,$O$2:$O$29)</f>
        <v/>
      </c>
      <c r="Q15" s="2" t="inlineStr">
        <is>
          <t>Backup</t>
        </is>
      </c>
      <c r="R15" s="3" t="n">
        <v>5.86</v>
      </c>
      <c r="S15" s="3" t="n">
        <v>407</v>
      </c>
      <c r="T15" s="2" t="inlineStr">
        <is>
          <t>Not verified - check Clarivate JCR</t>
        </is>
      </c>
      <c r="U15" s="2" t="inlineStr">
        <is>
          <t>Good for optimisation-heavy variants.</t>
        </is>
      </c>
    </row>
    <row r="16">
      <c r="A16" s="2" t="inlineStr">
        <is>
          <t>Journal of Banking &amp; Finance</t>
        </is>
      </c>
      <c r="B16" s="2" t="inlineStr">
        <is>
          <t>Tier 2 - Field finance</t>
        </is>
      </c>
      <c r="C16" s="2" t="inlineStr">
        <is>
          <t>Elsevier</t>
        </is>
      </c>
      <c r="D16" s="2" t="inlineStr">
        <is>
          <t>Finance and banking broadly, incl. investments.</t>
        </is>
      </c>
      <c r="E16" s="3" t="n">
        <v>4</v>
      </c>
      <c r="F16" s="3" t="n">
        <v>3</v>
      </c>
      <c r="G16" s="2" t="inlineStr">
        <is>
          <t>MPR2026</t>
        </is>
      </c>
      <c r="H16" s="2" t="inlineStr">
        <is>
          <t>Empirical finance.</t>
        </is>
      </c>
      <c r="I16" s="2" t="inlineStr">
        <is>
          <t>High.</t>
        </is>
      </c>
      <c r="J16" s="2" t="inlineStr">
        <is>
          <t>Optional.</t>
        </is>
      </c>
      <c r="K16" s="2" t="inlineStr">
        <is>
          <t>WRDS-standard.</t>
        </is>
      </c>
      <c r="L16" s="2" t="inlineStr">
        <is>
          <t>Verify.</t>
        </is>
      </c>
      <c r="M16" s="3" t="n">
        <v>3</v>
      </c>
      <c r="N16" s="3" t="n">
        <v>8</v>
      </c>
      <c r="O16" s="3">
        <f>ROUND(0.6*N16+0.8*AVERAGE(E16:F16)-0.3*M16,2)</f>
        <v/>
      </c>
      <c r="P16" s="3">
        <f>RANK(O16,$O$2:$O$29)</f>
        <v/>
      </c>
      <c r="Q16" s="2" t="inlineStr">
        <is>
          <t>Backup (strong)</t>
        </is>
      </c>
      <c r="R16" s="3" t="n">
        <v>4.45</v>
      </c>
      <c r="S16" s="3" t="n">
        <v>309</v>
      </c>
      <c r="T16" s="2" t="inlineStr">
        <is>
          <t>Not verified - check Clarivate JCR</t>
        </is>
      </c>
      <c r="U16" s="2" t="inlineStr"/>
    </row>
    <row r="17">
      <c r="A17" s="2" t="inlineStr">
        <is>
          <t>Journal of Empirical Finance</t>
        </is>
      </c>
      <c r="B17" s="2" t="inlineStr">
        <is>
          <t>Tier 2 - Field finance</t>
        </is>
      </c>
      <c r="C17" s="2" t="inlineStr">
        <is>
          <t>Elsevier</t>
        </is>
      </c>
      <c r="D17" s="2" t="inlineStr">
        <is>
          <t>Empirical finance and financial econometrics.</t>
        </is>
      </c>
      <c r="E17" s="3" t="n">
        <v>4</v>
      </c>
      <c r="F17" s="3" t="n">
        <v>3</v>
      </c>
      <c r="G17" s="2" t="inlineStr">
        <is>
          <t>LW2008</t>
        </is>
      </c>
      <c r="H17" s="2" t="inlineStr">
        <is>
          <t>Empirical/econometric.</t>
        </is>
      </c>
      <c r="I17" s="2" t="inlineStr">
        <is>
          <t>High.</t>
        </is>
      </c>
      <c r="J17" s="2" t="inlineStr">
        <is>
          <t>Optional.</t>
        </is>
      </c>
      <c r="K17" s="2" t="inlineStr">
        <is>
          <t>WRDS-standard.</t>
        </is>
      </c>
      <c r="L17" s="2" t="inlineStr">
        <is>
          <t>Verify.</t>
        </is>
      </c>
      <c r="M17" s="3" t="n">
        <v>3</v>
      </c>
      <c r="N17" s="3" t="n">
        <v>8</v>
      </c>
      <c r="O17" s="3">
        <f>ROUND(0.6*N17+0.8*AVERAGE(E17:F17)-0.3*M17,2)</f>
        <v/>
      </c>
      <c r="P17" s="3">
        <f>RANK(O17,$O$2:$O$29)</f>
        <v/>
      </c>
      <c r="Q17" s="2" t="inlineStr">
        <is>
          <t>Backup (strong)</t>
        </is>
      </c>
      <c r="R17" s="3" t="n">
        <v>2.82</v>
      </c>
      <c r="S17" s="3" t="n">
        <v>133</v>
      </c>
      <c r="T17" s="2" t="inlineStr">
        <is>
          <t>Not verified - check Clarivate JCR</t>
        </is>
      </c>
      <c r="U17" s="2" t="inlineStr"/>
    </row>
    <row r="18">
      <c r="A18" s="2" t="inlineStr">
        <is>
          <t>Journal of Financial Markets</t>
        </is>
      </c>
      <c r="B18" s="2" t="inlineStr">
        <is>
          <t>Tier 2 - Field finance</t>
        </is>
      </c>
      <c r="C18" s="2" t="inlineStr">
        <is>
          <t>Elsevier</t>
        </is>
      </c>
      <c r="D18" s="2" t="inlineStr">
        <is>
          <t>Market microstructure, trading, asset pricing.</t>
        </is>
      </c>
      <c r="E18" s="3" t="n">
        <v>5</v>
      </c>
      <c r="F18" s="3" t="n">
        <v>3</v>
      </c>
      <c r="G18" s="2" t="inlineStr">
        <is>
          <t>TH2021; WL2025; AMI2002</t>
        </is>
      </c>
      <c r="H18" s="2" t="inlineStr">
        <is>
          <t>Empirical microstructure / trading.</t>
        </is>
      </c>
      <c r="I18" s="2" t="inlineStr">
        <is>
          <t>High for cost modelling.</t>
        </is>
      </c>
      <c r="J18" s="2" t="inlineStr">
        <is>
          <t>Optional.</t>
        </is>
      </c>
      <c r="K18" s="2" t="inlineStr">
        <is>
          <t>TAQ/WRDS.</t>
        </is>
      </c>
      <c r="L18" s="2" t="inlineStr">
        <is>
          <t>Verify.</t>
        </is>
      </c>
      <c r="M18" s="3" t="n">
        <v>3</v>
      </c>
      <c r="N18" s="3" t="n">
        <v>8</v>
      </c>
      <c r="O18" s="3">
        <f>ROUND(0.6*N18+0.8*AVERAGE(E18:F18)-0.3*M18,2)</f>
        <v/>
      </c>
      <c r="P18" s="3">
        <f>RANK(O18,$O$2:$O$29)</f>
        <v/>
      </c>
      <c r="Q18" s="2" t="inlineStr">
        <is>
          <t>Backup (strong)</t>
        </is>
      </c>
      <c r="R18" s="3" t="n">
        <v>2.09</v>
      </c>
      <c r="S18" s="3" t="n">
        <v>104</v>
      </c>
      <c r="T18" s="2" t="inlineStr">
        <is>
          <t>Not verified - check Clarivate JCR</t>
        </is>
      </c>
      <c r="U18" s="2" t="inlineStr">
        <is>
          <t>Natural home if transaction-cost modelling is central.</t>
        </is>
      </c>
    </row>
    <row r="19">
      <c r="A19" s="2" t="inlineStr">
        <is>
          <t>Journal of Economic Dynamics and Control</t>
        </is>
      </c>
      <c r="B19" s="2" t="inlineStr">
        <is>
          <t>Tier 2 - Field</t>
        </is>
      </c>
      <c r="C19" s="2" t="inlineStr">
        <is>
          <t>Elsevier</t>
        </is>
      </c>
      <c r="D19" s="2" t="inlineStr">
        <is>
          <t>Computational economics and finance.</t>
        </is>
      </c>
      <c r="E19" s="3" t="n">
        <v>3</v>
      </c>
      <c r="F19" s="3" t="n">
        <v>3</v>
      </c>
      <c r="G19" s="2" t="inlineStr">
        <is>
          <t>CFMZ2023; GT2007</t>
        </is>
      </c>
      <c r="H19" s="2" t="inlineStr">
        <is>
          <t>Computational/empirical.</t>
        </is>
      </c>
      <c r="I19" s="2" t="inlineStr">
        <is>
          <t>Moderate-high.</t>
        </is>
      </c>
      <c r="J19" s="2" t="inlineStr">
        <is>
          <t>Optional.</t>
        </is>
      </c>
      <c r="K19" s="2" t="inlineStr">
        <is>
          <t>Flexible.</t>
        </is>
      </c>
      <c r="L19" s="2" t="inlineStr">
        <is>
          <t>Verify.</t>
        </is>
      </c>
      <c r="M19" s="3" t="n">
        <v>3</v>
      </c>
      <c r="N19" s="3" t="n">
        <v>6</v>
      </c>
      <c r="O19" s="3">
        <f>ROUND(0.6*N19+0.8*AVERAGE(E19:F19)-0.3*M19,2)</f>
        <v/>
      </c>
      <c r="P19" s="3">
        <f>RANK(O19,$O$2:$O$29)</f>
        <v/>
      </c>
      <c r="Q19" s="2" t="inlineStr">
        <is>
          <t>Backup</t>
        </is>
      </c>
      <c r="R19" s="3" t="n">
        <v>2</v>
      </c>
      <c r="S19" s="3" t="n">
        <v>168</v>
      </c>
      <c r="T19" s="2" t="inlineStr">
        <is>
          <t>Not verified - check Clarivate JCR</t>
        </is>
      </c>
      <c r="U19" s="2" t="inlineStr"/>
    </row>
    <row r="20">
      <c r="A20" s="2" t="inlineStr">
        <is>
          <t>Critical Finance Review</t>
        </is>
      </c>
      <c r="B20" s="2" t="inlineStr">
        <is>
          <t>Tier 2 - Field (replication/critique)</t>
        </is>
      </c>
      <c r="C20" s="2" t="inlineStr">
        <is>
          <t>Now Publishers</t>
        </is>
      </c>
      <c r="D20" s="2" t="inlineStr">
        <is>
          <t>Critical/replication-oriented finance research.</t>
        </is>
      </c>
      <c r="E20" s="3" t="n">
        <v>4</v>
      </c>
      <c r="F20" s="3" t="n">
        <v>3</v>
      </c>
      <c r="G20" s="2" t="inlineStr">
        <is>
          <t>LEW2015; CZ2022</t>
        </is>
      </c>
      <c r="H20" s="2" t="inlineStr">
        <is>
          <t>Replication, critique, careful re-examination.</t>
        </is>
      </c>
      <c r="I20" s="2" t="inlineStr">
        <is>
          <t>High transparency.</t>
        </is>
      </c>
      <c r="J20" s="2" t="inlineStr">
        <is>
          <t>Optional.</t>
        </is>
      </c>
      <c r="K20" s="2" t="inlineStr">
        <is>
          <t>Open where possible.</t>
        </is>
      </c>
      <c r="L20" s="2" t="inlineStr">
        <is>
          <t>Verify.</t>
        </is>
      </c>
      <c r="M20" s="3" t="n">
        <v>3</v>
      </c>
      <c r="N20" s="3" t="n">
        <v>7</v>
      </c>
      <c r="O20" s="3">
        <f>ROUND(0.6*N20+0.8*AVERAGE(E20:F20)-0.3*M20,2)</f>
        <v/>
      </c>
      <c r="P20" s="3">
        <f>RANK(O20,$O$2:$O$29)</f>
        <v/>
      </c>
      <c r="Q20" s="2" t="inlineStr">
        <is>
          <t>Backup (if results are mainly a critical re-assessment)</t>
        </is>
      </c>
      <c r="R20" s="3" t="n">
        <v>3.74</v>
      </c>
      <c r="S20" s="3" t="n">
        <v>32</v>
      </c>
      <c r="T20" s="2" t="inlineStr">
        <is>
          <t>Not verified - check Clarivate JCR</t>
        </is>
      </c>
      <c r="U20" s="2" t="inlineStr"/>
    </row>
    <row r="21">
      <c r="A21" s="2" t="inlineStr">
        <is>
          <t>Mathematical Finance</t>
        </is>
      </c>
      <c r="B21" s="2" t="inlineStr">
        <is>
          <t>Tier 2 - Mathematical finance</t>
        </is>
      </c>
      <c r="C21" s="2" t="inlineStr">
        <is>
          <t>Wiley</t>
        </is>
      </c>
      <c r="D21" s="2" t="inlineStr">
        <is>
          <t>Mathematical finance theory.</t>
        </is>
      </c>
      <c r="E21" s="3" t="n">
        <v>3</v>
      </c>
      <c r="F21" s="3" t="n">
        <v>2</v>
      </c>
      <c r="G21" s="2" t="inlineStr">
        <is>
          <t>-</t>
        </is>
      </c>
      <c r="H21" s="2" t="inlineStr">
        <is>
          <t>Mathematical theory.</t>
        </is>
      </c>
      <c r="I21" s="2" t="inlineStr">
        <is>
          <t>Low.</t>
        </is>
      </c>
      <c r="J21" s="2" t="inlineStr">
        <is>
          <t>Required.</t>
        </is>
      </c>
      <c r="K21" s="2" t="inlineStr">
        <is>
          <t>-</t>
        </is>
      </c>
      <c r="L21" s="2" t="inlineStr">
        <is>
          <t>Verify.</t>
        </is>
      </c>
      <c r="M21" s="3" t="n">
        <v>5</v>
      </c>
      <c r="N21" s="3" t="n">
        <v>2</v>
      </c>
      <c r="O21" s="3">
        <f>ROUND(0.6*N21+0.8*AVERAGE(E21:F21)-0.3*M21,2)</f>
        <v/>
      </c>
      <c r="P21" s="3">
        <f>RANK(O21,$O$2:$O$29)</f>
        <v/>
      </c>
      <c r="Q21" s="2" t="inlineStr">
        <is>
          <t>Not recommended</t>
        </is>
      </c>
      <c r="R21" s="3" t="n">
        <v>1.6</v>
      </c>
      <c r="S21" s="3" t="n">
        <v>129</v>
      </c>
      <c r="T21" s="2" t="inlineStr">
        <is>
          <t>Not verified - check Clarivate JCR</t>
        </is>
      </c>
      <c r="U21" s="2" t="inlineStr">
        <is>
          <t>Poor fit for empirical signal combination.</t>
        </is>
      </c>
    </row>
    <row r="22">
      <c r="A22" s="2" t="inlineStr">
        <is>
          <t>Journal of Computational Finance</t>
        </is>
      </c>
      <c r="B22" s="2" t="inlineStr">
        <is>
          <t>Tier 2 - Computational finance</t>
        </is>
      </c>
      <c r="C22" s="2" t="inlineStr">
        <is>
          <t>Infopro Digital (Risk.net)</t>
        </is>
      </c>
      <c r="D22" s="2" t="inlineStr">
        <is>
          <t>Verified (risk.net): numerical and computational techniques in pricing, hedging and risk management; recent issues include ML and portfolio optimisation.</t>
        </is>
      </c>
      <c r="E22" s="3" t="n">
        <v>3</v>
      </c>
      <c r="F22" s="3" t="n">
        <v>3</v>
      </c>
      <c r="G22" s="2" t="inlineStr">
        <is>
          <t>BBLZ2017</t>
        </is>
      </c>
      <c r="H22" s="2" t="inlineStr">
        <is>
          <t>Numerical methods.</t>
        </is>
      </c>
      <c r="I22" s="2" t="inlineStr">
        <is>
          <t>Low-moderate.</t>
        </is>
      </c>
      <c r="J22" s="2" t="inlineStr">
        <is>
          <t>Numerical analysis.</t>
        </is>
      </c>
      <c r="K22" s="2" t="inlineStr">
        <is>
          <t>-</t>
        </is>
      </c>
      <c r="L22" s="2" t="inlineStr">
        <is>
          <t>Verify.</t>
        </is>
      </c>
      <c r="M22" s="3" t="n">
        <v>3</v>
      </c>
      <c r="N22" s="3" t="n">
        <v>4</v>
      </c>
      <c r="O22" s="3">
        <f>ROUND(0.6*N22+0.8*AVERAGE(E22:F22)-0.3*M22,2)</f>
        <v/>
      </c>
      <c r="P22" s="3">
        <f>RANK(O22,$O$2:$O$29)</f>
        <v/>
      </c>
      <c r="Q22" s="2" t="inlineStr">
        <is>
          <t>Not recommended (except optimiser-computation variant)</t>
        </is>
      </c>
      <c r="R22" s="3" t="n">
        <v>0.68</v>
      </c>
      <c r="S22" s="3" t="n">
        <v>57</v>
      </c>
      <c r="T22" s="2" t="inlineStr">
        <is>
          <t>Not verified - check Clarivate JCR</t>
        </is>
      </c>
      <c r="U22" s="2" t="inlineStr">
        <is>
          <t>Editor-in-chief: Christoph Reisinger (risk.net).</t>
        </is>
      </c>
    </row>
    <row r="23">
      <c r="A23" s="2" t="inlineStr">
        <is>
          <t>Annals of Operations Research</t>
        </is>
      </c>
      <c r="B23" s="2" t="inlineStr">
        <is>
          <t>Tier 2/3 - OR</t>
        </is>
      </c>
      <c r="C23" s="2" t="inlineStr">
        <is>
          <t>Springer</t>
        </is>
      </c>
      <c r="D23" s="2" t="inlineStr">
        <is>
          <t>OR applications incl. finance.</t>
        </is>
      </c>
      <c r="E23" s="3" t="n">
        <v>3</v>
      </c>
      <c r="F23" s="3" t="n">
        <v>4</v>
      </c>
      <c r="G23" s="2" t="inlineStr">
        <is>
          <t>ULM2024; SYM2025</t>
        </is>
      </c>
      <c r="H23" s="2" t="inlineStr">
        <is>
          <t>OR/ML.</t>
        </is>
      </c>
      <c r="I23" s="2" t="inlineStr">
        <is>
          <t>Moderate.</t>
        </is>
      </c>
      <c r="J23" s="2" t="inlineStr">
        <is>
          <t>Optional.</t>
        </is>
      </c>
      <c r="K23" s="2" t="inlineStr">
        <is>
          <t>Flexible.</t>
        </is>
      </c>
      <c r="L23" s="2" t="inlineStr">
        <is>
          <t>Verify.</t>
        </is>
      </c>
      <c r="M23" s="3" t="n">
        <v>2</v>
      </c>
      <c r="N23" s="3" t="n">
        <v>6</v>
      </c>
      <c r="O23" s="3">
        <f>ROUND(0.6*N23+0.8*AVERAGE(E23:F23)-0.3*M23,2)</f>
        <v/>
      </c>
      <c r="P23" s="3">
        <f>RANK(O23,$O$2:$O$29)</f>
        <v/>
      </c>
      <c r="Q23" s="2" t="inlineStr">
        <is>
          <t>Backup</t>
        </is>
      </c>
      <c r="R23" s="3" t="n">
        <v>3.89</v>
      </c>
      <c r="S23" s="3" t="n">
        <v>186</v>
      </c>
      <c r="T23" s="2" t="inlineStr">
        <is>
          <t>Not verified - check Clarivate JCR</t>
        </is>
      </c>
      <c r="U23" s="2" t="inlineStr"/>
    </row>
    <row r="24">
      <c r="A24" s="2" t="inlineStr">
        <is>
          <t>Financial Analysts Journal</t>
        </is>
      </c>
      <c r="B24" s="2" t="inlineStr">
        <is>
          <t>Tier 3 - Practitioner (high reputation)</t>
        </is>
      </c>
      <c r="C24" s="2" t="inlineStr">
        <is>
          <t>Taylor &amp; Francis / CFA Institute</t>
        </is>
      </c>
      <c r="D24" s="2" t="inlineStr">
        <is>
          <t>Practitioner-relevant investment research.</t>
        </is>
      </c>
      <c r="E24" s="3" t="n">
        <v>4</v>
      </c>
      <c r="F24" s="3" t="n">
        <v>4</v>
      </c>
      <c r="G24" s="2" t="inlineStr">
        <is>
          <t>RJ2019; KPT2012; NMV2019; LO2002; BL1992</t>
        </is>
      </c>
      <c r="H24" s="2" t="inlineStr">
        <is>
          <t>Rigorous but accessible.</t>
        </is>
      </c>
      <c r="I24" s="2" t="inlineStr">
        <is>
          <t>Practical relevance, costs, capacity.</t>
        </is>
      </c>
      <c r="J24" s="2" t="inlineStr">
        <is>
          <t>Not required.</t>
        </is>
      </c>
      <c r="K24" s="2" t="inlineStr">
        <is>
          <t>Flexible.</t>
        </is>
      </c>
      <c r="L24" s="2" t="inlineStr">
        <is>
          <t>Verify.</t>
        </is>
      </c>
      <c r="M24" s="3" t="n">
        <v>3</v>
      </c>
      <c r="N24" s="3" t="n">
        <v>7</v>
      </c>
      <c r="O24" s="3">
        <f>ROUND(0.6*N24+0.8*AVERAGE(E24:F24)-0.3*M24,2)</f>
        <v/>
      </c>
      <c r="P24" s="3">
        <f>RANK(O24,$O$2:$O$29)</f>
        <v/>
      </c>
      <c r="Q24" s="2" t="inlineStr">
        <is>
          <t>Backup (practitioner version)</t>
        </is>
      </c>
      <c r="R24" s="3" t="n">
        <v>2.74</v>
      </c>
      <c r="S24" s="3" t="n">
        <v>168</v>
      </c>
      <c r="T24" s="2" t="inlineStr">
        <is>
          <t>Not verified - check Clarivate JCR</t>
        </is>
      </c>
      <c r="U24" s="2" t="inlineStr">
        <is>
          <t>Shorter practitioner spin-off of the main paper.</t>
        </is>
      </c>
    </row>
    <row r="25">
      <c r="A25" s="2" t="inlineStr">
        <is>
          <t>Journal of Portfolio Management</t>
        </is>
      </c>
      <c r="B25" s="2" t="inlineStr">
        <is>
          <t>Tier 3 - Practitioner</t>
        </is>
      </c>
      <c r="C25" s="2" t="inlineStr">
        <is>
          <t>With Intelligence (PMR)</t>
        </is>
      </c>
      <c r="D25" s="2" t="inlineStr">
        <is>
          <t>Practitioner portfolio management.</t>
        </is>
      </c>
      <c r="E25" s="3" t="n">
        <v>4</v>
      </c>
      <c r="F25" s="3" t="n">
        <v>3</v>
      </c>
      <c r="G25" s="2" t="inlineStr">
        <is>
          <t>BLDP2014; LDP2016; HL2015; CSS2012; LS2008</t>
        </is>
      </c>
      <c r="H25" s="2" t="inlineStr">
        <is>
          <t>Practitioner.</t>
        </is>
      </c>
      <c r="I25" s="2" t="inlineStr">
        <is>
          <t>Moderate.</t>
        </is>
      </c>
      <c r="J25" s="2" t="inlineStr">
        <is>
          <t>No.</t>
        </is>
      </c>
      <c r="K25" s="2" t="inlineStr">
        <is>
          <t>Flexible.</t>
        </is>
      </c>
      <c r="L25" s="2" t="inlineStr">
        <is>
          <t>None known.</t>
        </is>
      </c>
      <c r="M25" s="3" t="n">
        <v>2</v>
      </c>
      <c r="N25" s="3" t="n">
        <v>6</v>
      </c>
      <c r="O25" s="3">
        <f>ROUND(0.6*N25+0.8*AVERAGE(E25:F25)-0.3*M25,2)</f>
        <v/>
      </c>
      <c r="P25" s="3">
        <f>RANK(O25,$O$2:$O$29)</f>
        <v/>
      </c>
      <c r="Q25" s="2" t="inlineStr">
        <is>
          <t>Backup (practitioner)</t>
        </is>
      </c>
      <c r="R25" s="3" t="n">
        <v>0.8</v>
      </c>
      <c r="S25" s="3" t="n">
        <v>116</v>
      </c>
      <c r="T25" s="2" t="inlineStr">
        <is>
          <t>Not verified - check Clarivate JCR</t>
        </is>
      </c>
      <c r="U25" s="2" t="inlineStr"/>
    </row>
    <row r="26">
      <c r="A26" s="2" t="inlineStr">
        <is>
          <t>Journal of Financial Data Science</t>
        </is>
      </c>
      <c r="B26" s="2" t="inlineStr">
        <is>
          <t>Tier 3 - Practitioner ML</t>
        </is>
      </c>
      <c r="C26" s="2" t="inlineStr">
        <is>
          <t>With Intelligence (PMR)</t>
        </is>
      </c>
      <c r="D26" s="2" t="inlineStr">
        <is>
          <t>Data science and ML in finance for practitioners.</t>
        </is>
      </c>
      <c r="E26" s="3" t="n">
        <v>4</v>
      </c>
      <c r="F26" s="3" t="n">
        <v>5</v>
      </c>
      <c r="G26" s="2" t="inlineStr">
        <is>
          <t>BHHH2023; LLMSS2021; ZZR2020; LZR2019; AHM2019</t>
        </is>
      </c>
      <c r="H26" s="2" t="inlineStr">
        <is>
          <t>Applied ML.</t>
        </is>
      </c>
      <c r="I26" s="2" t="inlineStr">
        <is>
          <t>Moderate.</t>
        </is>
      </c>
      <c r="J26" s="2" t="inlineStr">
        <is>
          <t>No.</t>
        </is>
      </c>
      <c r="K26" s="2" t="inlineStr">
        <is>
          <t>Flexible.</t>
        </is>
      </c>
      <c r="L26" s="2" t="inlineStr">
        <is>
          <t>None known.</t>
        </is>
      </c>
      <c r="M26" s="3" t="n">
        <v>2</v>
      </c>
      <c r="N26" s="3" t="n">
        <v>6</v>
      </c>
      <c r="O26" s="3">
        <f>ROUND(0.6*N26+0.8*AVERAGE(E26:F26)-0.3*M26,2)</f>
        <v/>
      </c>
      <c r="P26" s="3">
        <f>RANK(O26,$O$2:$O$29)</f>
        <v/>
      </c>
      <c r="Q26" s="2" t="inlineStr">
        <is>
          <t>Backup (practitioner ML)</t>
        </is>
      </c>
      <c r="R26" s="3" t="n">
        <v>0.68</v>
      </c>
      <c r="S26" s="3" t="n">
        <v>21</v>
      </c>
      <c r="T26" s="2" t="inlineStr">
        <is>
          <t>Not verified - check Clarivate JCR</t>
        </is>
      </c>
      <c r="U26" s="2" t="inlineStr"/>
    </row>
    <row r="27">
      <c r="A27" s="2" t="inlineStr">
        <is>
          <t>ACM ICAIF (conference)</t>
        </is>
      </c>
      <c r="B27" s="2" t="inlineStr">
        <is>
          <t>ML/AI venue - finance-specific</t>
        </is>
      </c>
      <c r="C27" s="2" t="inlineStr">
        <is>
          <t>ACM</t>
        </is>
      </c>
      <c r="D27" s="2" t="inlineStr">
        <is>
          <t>Verified: ACM International Conference on AI in Finance, proceedings in ACM DL (2020-2025; 2026 in Milan).</t>
        </is>
      </c>
      <c r="E27" s="3" t="n">
        <v>3</v>
      </c>
      <c r="F27" s="3" t="n">
        <v>5</v>
      </c>
      <c r="G27" s="2" t="inlineStr">
        <is>
          <t>-</t>
        </is>
      </c>
      <c r="H27" s="2" t="inlineStr">
        <is>
          <t>AI/ML methods.</t>
        </is>
      </c>
      <c r="I27" s="2" t="inlineStr">
        <is>
          <t>Benchmarks; costs often lighter.</t>
        </is>
      </c>
      <c r="J27" s="2" t="inlineStr">
        <is>
          <t>Optional.</t>
        </is>
      </c>
      <c r="K27" s="2" t="inlineStr">
        <is>
          <t>Public benchmarks favoured.</t>
        </is>
      </c>
      <c r="L27" s="2" t="inlineStr">
        <is>
          <t>Varies.</t>
        </is>
      </c>
      <c r="M27" s="3" t="n">
        <v>2</v>
      </c>
      <c r="N27" s="3" t="n">
        <v>5</v>
      </c>
      <c r="O27" s="3">
        <f>ROUND(0.6*N27+0.8*AVERAGE(E27:F27)-0.3*M27,2)</f>
        <v/>
      </c>
      <c r="P27" s="3">
        <f>RANK(O27,$O$2:$O$29)</f>
        <v/>
      </c>
      <c r="Q27" s="2" t="inlineStr">
        <is>
          <t>Early dissemination</t>
        </is>
      </c>
      <c r="R27" s="3" t="inlineStr">
        <is>
          <t>n/a</t>
        </is>
      </c>
      <c r="S27" s="3" t="inlineStr">
        <is>
          <t>n/a</t>
        </is>
      </c>
      <c r="T27" s="2" t="inlineStr">
        <is>
          <t>Not verified - check Clarivate JCR</t>
        </is>
      </c>
      <c r="U27" s="2" t="inlineStr">
        <is>
          <t>Useful for feedback on ML components; limited weight for finance hiring/promotion.</t>
        </is>
      </c>
    </row>
    <row r="28">
      <c r="A28" s="2" t="inlineStr">
        <is>
          <t>NeurIPS / ICML / KDD (main or workshops)</t>
        </is>
      </c>
      <c r="B28" s="2" t="inlineStr">
        <is>
          <t>ML/AI venue - general</t>
        </is>
      </c>
      <c r="C28" s="2" t="inlineStr">
        <is>
          <t>Various</t>
        </is>
      </c>
      <c r="D28" s="2" t="inlineStr">
        <is>
          <t>General ML; finance appears in applications and workshops.</t>
        </is>
      </c>
      <c r="E28" s="3" t="n">
        <v>2</v>
      </c>
      <c r="F28" s="3" t="n">
        <v>5</v>
      </c>
      <c r="G28" s="2" t="inlineStr">
        <is>
          <t>DAK2017; AK2017; AAB2019; DA2023</t>
        </is>
      </c>
      <c r="H28" s="2" t="inlineStr">
        <is>
          <t>ML novelty.</t>
        </is>
      </c>
      <c r="I28" s="2" t="inlineStr">
        <is>
          <t>ML benchmarks.</t>
        </is>
      </c>
      <c r="J28" s="2" t="inlineStr">
        <is>
          <t>Often.</t>
        </is>
      </c>
      <c r="K28" s="2" t="inlineStr">
        <is>
          <t>Public.</t>
        </is>
      </c>
      <c r="L28" s="2" t="inlineStr">
        <is>
          <t>Code often expected.</t>
        </is>
      </c>
      <c r="M28" s="3" t="n">
        <v>4</v>
      </c>
      <c r="N28" s="3" t="n">
        <v>3</v>
      </c>
      <c r="O28" s="3">
        <f>ROUND(0.6*N28+0.8*AVERAGE(E28:F28)-0.3*M28,2)</f>
        <v/>
      </c>
      <c r="P28" s="3">
        <f>RANK(O28,$O$2:$O$29)</f>
        <v/>
      </c>
      <c r="Q28" s="2" t="inlineStr">
        <is>
          <t>Not recommended for main paper</t>
        </is>
      </c>
      <c r="R28" s="3" t="inlineStr">
        <is>
          <t>n/a</t>
        </is>
      </c>
      <c r="S28" s="3" t="inlineStr">
        <is>
          <t>n/a</t>
        </is>
      </c>
      <c r="T28" s="2" t="inlineStr">
        <is>
          <t>Not verified - check Clarivate JCR</t>
        </is>
      </c>
      <c r="U28" s="2" t="inlineStr">
        <is>
          <t>Finance reviewers discount these unless economic evaluation is rigorous.</t>
        </is>
      </c>
    </row>
    <row r="29">
      <c r="A29" s="2" t="inlineStr">
        <is>
          <t>Expert Systems with Applications</t>
        </is>
      </c>
      <c r="B29" s="2" t="inlineStr">
        <is>
          <t>Tier 3 - Applied AI (high-volume)</t>
        </is>
      </c>
      <c r="C29" s="2" t="inlineStr">
        <is>
          <t>Elsevier</t>
        </is>
      </c>
      <c r="D29" s="2" t="inlineStr">
        <is>
          <t>Applied intelligent systems.</t>
        </is>
      </c>
      <c r="E29" s="3" t="n">
        <v>2</v>
      </c>
      <c r="F29" s="3" t="n">
        <v>5</v>
      </c>
      <c r="G29" s="2" t="inlineStr">
        <is>
          <t>-</t>
        </is>
      </c>
      <c r="H29" s="2" t="inlineStr">
        <is>
          <t>Applied ML.</t>
        </is>
      </c>
      <c r="I29" s="2" t="inlineStr">
        <is>
          <t>Variable; costs often omitted.</t>
        </is>
      </c>
      <c r="J29" s="2" t="inlineStr">
        <is>
          <t>No.</t>
        </is>
      </c>
      <c r="K29" s="2" t="inlineStr">
        <is>
          <t>Flexible.</t>
        </is>
      </c>
      <c r="L29" s="2" t="inlineStr">
        <is>
          <t>Verify.</t>
        </is>
      </c>
      <c r="M29" s="3" t="n">
        <v>2</v>
      </c>
      <c r="N29" s="3" t="n">
        <v>3</v>
      </c>
      <c r="O29" s="3">
        <f>ROUND(0.6*N29+0.8*AVERAGE(E29:F29)-0.3*M29,2)</f>
        <v/>
      </c>
      <c r="P29" s="3">
        <f>RANK(O29,$O$2:$O$29)</f>
        <v/>
      </c>
      <c r="Q29" s="2" t="inlineStr">
        <is>
          <t>Not recommended</t>
        </is>
      </c>
      <c r="R29" s="3" t="n">
        <v>7.51</v>
      </c>
      <c r="S29" s="3" t="n">
        <v>349</v>
      </c>
      <c r="T29" s="2" t="inlineStr">
        <is>
          <t>Not verified - check Clarivate JCR</t>
        </is>
      </c>
      <c r="U29" s="2" t="inlineStr">
        <is>
          <t>High citation counts do not translate into finance-field reputation; illustrates why IF alone is misleading.</t>
        </is>
      </c>
    </row>
  </sheetData>
  <autoFilter ref="A1:U29"/>
  <conditionalFormatting sqref="N2:N29">
    <cfRule type="colorScale" priority="1">
      <colorScale>
        <cfvo type="num" val="1"/>
        <cfvo type="num" val="10"/>
        <color rgb="00F4F4F1"/>
        <color rgb="006DA7EC"/>
      </colorScale>
    </cfRule>
  </conditionalFormatting>
  <conditionalFormatting sqref="M2:M29">
    <cfRule type="colorScale" priority="2">
      <colorScale>
        <cfvo type="num" val="1"/>
        <cfvo type="num" val="5"/>
        <color rgb="00F4F4F1"/>
        <color rgb="00EC835A"/>
      </colorScale>
    </cfRule>
  </conditionalFormatting>
  <conditionalFormatting sqref="O2:O29">
    <cfRule type="dataBar" priority="3">
      <dataBar>
        <cfvo type="min"/>
        <cfvo type="max"/>
        <color rgb="002A78D6"/>
      </dataBar>
    </cfRule>
  </conditionalFormatting>
  <conditionalFormatting sqref="Q2:Q29">
    <cfRule type="expression" priority="4" dxfId="0" stopIfTrue="1">
      <formula>ISNUMBER(SEARCH("Target",$Q2))</formula>
    </cfRule>
    <cfRule type="expression" priority="5" dxfId="1" stopIfTrue="1">
      <formula>ISNUMBER(SEARCH("Stretch",$Q2))</formula>
    </cfRule>
    <cfRule type="expression" priority="6" dxfId="2" stopIfTrue="1">
      <formula>ISNUMBER(SEARCH("Backup",$Q2))</formula>
    </cfRule>
    <cfRule type="expression" priority="7" dxfId="3" stopIfTrue="1">
      <formula>ISNUMBER(SEARCH("Not recommended",$Q2))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Journal strategy summary (live formulas)</t>
        </is>
      </c>
    </row>
    <row r="2">
      <c r="A2" s="5" t="inlineStr">
        <is>
          <t>Priority Index = 0.6*Fit + 0.8*mean(QF, ML relevance) - 0.3*Difficulty (team heuristic)</t>
        </is>
      </c>
    </row>
    <row r="4">
      <c r="A4" s="6" t="inlineStr">
        <is>
          <t>Role</t>
        </is>
      </c>
      <c r="B4" s="6" t="inlineStr">
        <is>
          <t>Journals</t>
        </is>
      </c>
      <c r="C4" s="6" t="inlineStr">
        <is>
          <t>Avg fit</t>
        </is>
      </c>
    </row>
    <row r="5">
      <c r="A5" t="inlineStr">
        <is>
          <t>Stretch</t>
        </is>
      </c>
      <c r="B5">
        <f>COUNTIF(Journals!$Q:$Q,"*Stretch*")</f>
        <v/>
      </c>
      <c r="C5">
        <f>IFERROR(ROUND(AVERAGEIF(Journals!$Q:$Q,"*Stretch*",Journals!$N:$N),2),"")</f>
        <v/>
      </c>
    </row>
    <row r="6">
      <c r="A6" t="inlineStr">
        <is>
          <t>Target</t>
        </is>
      </c>
      <c r="B6">
        <f>COUNTIF(Journals!$Q:$Q,"*Target*")</f>
        <v/>
      </c>
      <c r="C6">
        <f>IFERROR(ROUND(AVERAGEIF(Journals!$Q:$Q,"*Target*",Journals!$N:$N),2),"")</f>
        <v/>
      </c>
    </row>
    <row r="7">
      <c r="A7" t="inlineStr">
        <is>
          <t>Backup</t>
        </is>
      </c>
      <c r="B7">
        <f>COUNTIF(Journals!$Q:$Q,"*Backup*")</f>
        <v/>
      </c>
      <c r="C7">
        <f>IFERROR(ROUND(AVERAGEIF(Journals!$Q:$Q,"*Backup*",Journals!$N:$N),2),"")</f>
        <v/>
      </c>
    </row>
    <row r="8">
      <c r="A8" t="inlineStr">
        <is>
          <t>Not recommended</t>
        </is>
      </c>
      <c r="B8">
        <f>COUNTIF(Journals!$Q:$Q,"*Not recommended*")</f>
        <v/>
      </c>
      <c r="C8">
        <f>IFERROR(ROUND(AVERAGEIF(Journals!$Q:$Q,"*Not recommended*",Journals!$N:$N),2),"")</f>
        <v/>
      </c>
    </row>
    <row r="9">
      <c r="A9" t="inlineStr">
        <is>
          <t>Practitioner</t>
        </is>
      </c>
      <c r="B9">
        <f>COUNTIF(Journals!$Q:$Q,"*Practitioner*")</f>
        <v/>
      </c>
      <c r="C9">
        <f>IFERROR(ROUND(AVERAGEIF(Journals!$Q:$Q,"*Practitioner*",Journals!$N:$N),2),"")</f>
        <v/>
      </c>
    </row>
    <row r="10">
      <c r="A10" t="inlineStr">
        <is>
          <t>Early dissemination</t>
        </is>
      </c>
      <c r="B10">
        <f>COUNTIF(Journals!$Q:$Q,"*Early dissemination*")</f>
        <v/>
      </c>
      <c r="C10">
        <f>IFERROR(ROUND(AVERAGEIF(Journals!$Q:$Q,"*Early dissemination*",Journals!$N:$N),2),"")</f>
        <v/>
      </c>
    </row>
    <row r="13">
      <c r="A13" s="6" t="inlineStr">
        <is>
          <t>Tier</t>
        </is>
      </c>
      <c r="B13" s="6" t="inlineStr">
        <is>
          <t>Journals</t>
        </is>
      </c>
      <c r="C13" s="6" t="inlineStr">
        <is>
          <t>Avg fit</t>
        </is>
      </c>
      <c r="D13" s="6" t="inlineStr">
        <is>
          <t>Avg difficulty</t>
        </is>
      </c>
    </row>
    <row r="14">
      <c r="A14" t="inlineStr">
        <is>
          <t>ML/AI venue - finance-specific</t>
        </is>
      </c>
      <c r="B14">
        <f>COUNTIF(Journals!$B:$B,$A14)</f>
        <v/>
      </c>
      <c r="C14">
        <f>IFERROR(ROUND(AVERAGEIF(Journals!$B:$B,$A14,Journals!$N:$N),2),"")</f>
        <v/>
      </c>
      <c r="D14">
        <f>IFERROR(ROUND(AVERAGEIF(Journals!$B:$B,$A14,Journals!$M:$M),2),"")</f>
        <v/>
      </c>
    </row>
    <row r="15">
      <c r="A15" t="inlineStr">
        <is>
          <t>ML/AI venue - general</t>
        </is>
      </c>
      <c r="B15">
        <f>COUNTIF(Journals!$B:$B,$A15)</f>
        <v/>
      </c>
      <c r="C15">
        <f>IFERROR(ROUND(AVERAGEIF(Journals!$B:$B,$A15,Journals!$N:$N),2),"")</f>
        <v/>
      </c>
      <c r="D15">
        <f>IFERROR(ROUND(AVERAGEIF(Journals!$B:$B,$A15,Journals!$M:$M),2),"")</f>
        <v/>
      </c>
    </row>
    <row r="16">
      <c r="A16" t="inlineStr">
        <is>
          <t>Tier 1 - General finance (top-3)</t>
        </is>
      </c>
      <c r="B16">
        <f>COUNTIF(Journals!$B:$B,$A16)</f>
        <v/>
      </c>
      <c r="C16">
        <f>IFERROR(ROUND(AVERAGEIF(Journals!$B:$B,$A16,Journals!$N:$N),2),"")</f>
        <v/>
      </c>
      <c r="D16">
        <f>IFERROR(ROUND(AVERAGEIF(Journals!$B:$B,$A16,Journals!$M:$M),2),"")</f>
        <v/>
      </c>
    </row>
    <row r="17">
      <c r="A17" t="inlineStr">
        <is>
          <t>Tier 1b - Top OR</t>
        </is>
      </c>
      <c r="B17">
        <f>COUNTIF(Journals!$B:$B,$A17)</f>
        <v/>
      </c>
      <c r="C17">
        <f>IFERROR(ROUND(AVERAGEIF(Journals!$B:$B,$A17,Journals!$N:$N),2),"")</f>
        <v/>
      </c>
      <c r="D17">
        <f>IFERROR(ROUND(AVERAGEIF(Journals!$B:$B,$A17,Journals!$M:$M),2),"")</f>
        <v/>
      </c>
    </row>
    <row r="18">
      <c r="A18" t="inlineStr">
        <is>
          <t>Tier 1b - Top field finance</t>
        </is>
      </c>
      <c r="B18">
        <f>COUNTIF(Journals!$B:$B,$A18)</f>
        <v/>
      </c>
      <c r="C18">
        <f>IFERROR(ROUND(AVERAGEIF(Journals!$B:$B,$A18,Journals!$N:$N),2),"")</f>
        <v/>
      </c>
      <c r="D18">
        <f>IFERROR(ROUND(AVERAGEIF(Journals!$B:$B,$A18,Journals!$M:$M),2),"")</f>
        <v/>
      </c>
    </row>
    <row r="19">
      <c r="A19" t="inlineStr">
        <is>
          <t>Tier 1b - Top field finance / OR</t>
        </is>
      </c>
      <c r="B19">
        <f>COUNTIF(Journals!$B:$B,$A19)</f>
        <v/>
      </c>
      <c r="C19">
        <f>IFERROR(ROUND(AVERAGEIF(Journals!$B:$B,$A19,Journals!$N:$N),2),"")</f>
        <v/>
      </c>
      <c r="D19">
        <f>IFERROR(ROUND(AVERAGEIF(Journals!$B:$B,$A19,Journals!$M:$M),2),"")</f>
        <v/>
      </c>
    </row>
    <row r="20">
      <c r="A20" t="inlineStr">
        <is>
          <t>Tier 2 - Computational finance</t>
        </is>
      </c>
      <c r="B20">
        <f>COUNTIF(Journals!$B:$B,$A20)</f>
        <v/>
      </c>
      <c r="C20">
        <f>IFERROR(ROUND(AVERAGEIF(Journals!$B:$B,$A20,Journals!$N:$N),2),"")</f>
        <v/>
      </c>
      <c r="D20">
        <f>IFERROR(ROUND(AVERAGEIF(Journals!$B:$B,$A20,Journals!$M:$M),2),"")</f>
        <v/>
      </c>
    </row>
    <row r="21">
      <c r="A21" t="inlineStr">
        <is>
          <t>Tier 2 - Econometrics</t>
        </is>
      </c>
      <c r="B21">
        <f>COUNTIF(Journals!$B:$B,$A21)</f>
        <v/>
      </c>
      <c r="C21">
        <f>IFERROR(ROUND(AVERAGEIF(Journals!$B:$B,$A21,Journals!$N:$N),2),"")</f>
        <v/>
      </c>
      <c r="D21">
        <f>IFERROR(ROUND(AVERAGEIF(Journals!$B:$B,$A21,Journals!$M:$M),2),"")</f>
        <v/>
      </c>
    </row>
    <row r="22">
      <c r="A22" t="inlineStr">
        <is>
          <t>Tier 2 - Econometrics (top)</t>
        </is>
      </c>
      <c r="B22">
        <f>COUNTIF(Journals!$B:$B,$A22)</f>
        <v/>
      </c>
      <c r="C22">
        <f>IFERROR(ROUND(AVERAGEIF(Journals!$B:$B,$A22,Journals!$N:$N),2),"")</f>
        <v/>
      </c>
      <c r="D22">
        <f>IFERROR(ROUND(AVERAGEIF(Journals!$B:$B,$A22,Journals!$M:$M),2),"")</f>
        <v/>
      </c>
    </row>
    <row r="23">
      <c r="A23" t="inlineStr">
        <is>
          <t>Tier 2 - Field</t>
        </is>
      </c>
      <c r="B23">
        <f>COUNTIF(Journals!$B:$B,$A23)</f>
        <v/>
      </c>
      <c r="C23">
        <f>IFERROR(ROUND(AVERAGEIF(Journals!$B:$B,$A23,Journals!$N:$N),2),"")</f>
        <v/>
      </c>
      <c r="D23">
        <f>IFERROR(ROUND(AVERAGEIF(Journals!$B:$B,$A23,Journals!$M:$M),2),"")</f>
        <v/>
      </c>
    </row>
    <row r="24">
      <c r="A24" t="inlineStr">
        <is>
          <t>Tier 2 - Field (replication/critique)</t>
        </is>
      </c>
      <c r="B24">
        <f>COUNTIF(Journals!$B:$B,$A24)</f>
        <v/>
      </c>
      <c r="C24">
        <f>IFERROR(ROUND(AVERAGEIF(Journals!$B:$B,$A24,Journals!$N:$N),2),"")</f>
        <v/>
      </c>
      <c r="D24">
        <f>IFERROR(ROUND(AVERAGEIF(Journals!$B:$B,$A24,Journals!$M:$M),2),"")</f>
        <v/>
      </c>
    </row>
    <row r="25">
      <c r="A25" t="inlineStr">
        <is>
          <t>Tier 2 - Field finance</t>
        </is>
      </c>
      <c r="B25">
        <f>COUNTIF(Journals!$B:$B,$A25)</f>
        <v/>
      </c>
      <c r="C25">
        <f>IFERROR(ROUND(AVERAGEIF(Journals!$B:$B,$A25,Journals!$N:$N),2),"")</f>
        <v/>
      </c>
      <c r="D25">
        <f>IFERROR(ROUND(AVERAGEIF(Journals!$B:$B,$A25,Journals!$M:$M),2),"")</f>
        <v/>
      </c>
    </row>
    <row r="26">
      <c r="A26" t="inlineStr">
        <is>
          <t>Tier 2 - Forecasting</t>
        </is>
      </c>
      <c r="B26">
        <f>COUNTIF(Journals!$B:$B,$A26)</f>
        <v/>
      </c>
      <c r="C26">
        <f>IFERROR(ROUND(AVERAGEIF(Journals!$B:$B,$A26,Journals!$N:$N),2),"")</f>
        <v/>
      </c>
      <c r="D26">
        <f>IFERROR(ROUND(AVERAGEIF(Journals!$B:$B,$A26,Journals!$M:$M),2),"")</f>
        <v/>
      </c>
    </row>
    <row r="27">
      <c r="A27" t="inlineStr">
        <is>
          <t>Tier 2 - Mathematical finance</t>
        </is>
      </c>
      <c r="B27">
        <f>COUNTIF(Journals!$B:$B,$A27)</f>
        <v/>
      </c>
      <c r="C27">
        <f>IFERROR(ROUND(AVERAGEIF(Journals!$B:$B,$A27,Journals!$N:$N),2),"")</f>
        <v/>
      </c>
      <c r="D27">
        <f>IFERROR(ROUND(AVERAGEIF(Journals!$B:$B,$A27,Journals!$M:$M),2),"")</f>
        <v/>
      </c>
    </row>
    <row r="28">
      <c r="A28" t="inlineStr">
        <is>
          <t>Tier 2 - OR (high-volume)</t>
        </is>
      </c>
      <c r="B28">
        <f>COUNTIF(Journals!$B:$B,$A28)</f>
        <v/>
      </c>
      <c r="C28">
        <f>IFERROR(ROUND(AVERAGEIF(Journals!$B:$B,$A28,Journals!$N:$N),2),"")</f>
        <v/>
      </c>
      <c r="D28">
        <f>IFERROR(ROUND(AVERAGEIF(Journals!$B:$B,$A28,Journals!$M:$M),2),"")</f>
        <v/>
      </c>
    </row>
    <row r="29">
      <c r="A29" t="inlineStr">
        <is>
          <t>Tier 2 - Quantitative/computational finance</t>
        </is>
      </c>
      <c r="B29">
        <f>COUNTIF(Journals!$B:$B,$A29)</f>
        <v/>
      </c>
      <c r="C29">
        <f>IFERROR(ROUND(AVERAGEIF(Journals!$B:$B,$A29,Journals!$N:$N),2),"")</f>
        <v/>
      </c>
      <c r="D29">
        <f>IFERROR(ROUND(AVERAGEIF(Journals!$B:$B,$A29,Journals!$M:$M),2),"")</f>
        <v/>
      </c>
    </row>
    <row r="30">
      <c r="A30" t="inlineStr">
        <is>
          <t>Tier 2/3 - OR</t>
        </is>
      </c>
      <c r="B30">
        <f>COUNTIF(Journals!$B:$B,$A30)</f>
        <v/>
      </c>
      <c r="C30">
        <f>IFERROR(ROUND(AVERAGEIF(Journals!$B:$B,$A30,Journals!$N:$N),2),"")</f>
        <v/>
      </c>
      <c r="D30">
        <f>IFERROR(ROUND(AVERAGEIF(Journals!$B:$B,$A30,Journals!$M:$M),2),"")</f>
        <v/>
      </c>
    </row>
    <row r="31">
      <c r="A31" t="inlineStr">
        <is>
          <t>Tier 3 - Applied AI (high-volume)</t>
        </is>
      </c>
      <c r="B31">
        <f>COUNTIF(Journals!$B:$B,$A31)</f>
        <v/>
      </c>
      <c r="C31">
        <f>IFERROR(ROUND(AVERAGEIF(Journals!$B:$B,$A31,Journals!$N:$N),2),"")</f>
        <v/>
      </c>
      <c r="D31">
        <f>IFERROR(ROUND(AVERAGEIF(Journals!$B:$B,$A31,Journals!$M:$M),2),"")</f>
        <v/>
      </c>
    </row>
    <row r="32">
      <c r="A32" t="inlineStr">
        <is>
          <t>Tier 3 - Practitioner</t>
        </is>
      </c>
      <c r="B32">
        <f>COUNTIF(Journals!$B:$B,$A32)</f>
        <v/>
      </c>
      <c r="C32">
        <f>IFERROR(ROUND(AVERAGEIF(Journals!$B:$B,$A32,Journals!$N:$N),2),"")</f>
        <v/>
      </c>
      <c r="D32">
        <f>IFERROR(ROUND(AVERAGEIF(Journals!$B:$B,$A32,Journals!$M:$M),2),"")</f>
        <v/>
      </c>
    </row>
    <row r="33">
      <c r="A33" t="inlineStr">
        <is>
          <t>Tier 3 - Practitioner (high reputation)</t>
        </is>
      </c>
      <c r="B33">
        <f>COUNTIF(Journals!$B:$B,$A33)</f>
        <v/>
      </c>
      <c r="C33">
        <f>IFERROR(ROUND(AVERAGEIF(Journals!$B:$B,$A33,Journals!$N:$N),2),"")</f>
        <v/>
      </c>
      <c r="D33">
        <f>IFERROR(ROUND(AVERAGEIF(Journals!$B:$B,$A33,Journals!$M:$M),2),"")</f>
        <v/>
      </c>
    </row>
    <row r="34">
      <c r="A34" t="inlineStr">
        <is>
          <t>Tier 3 - Practitioner ML</t>
        </is>
      </c>
      <c r="B34">
        <f>COUNTIF(Journals!$B:$B,$A34)</f>
        <v/>
      </c>
      <c r="C34">
        <f>IFERROR(ROUND(AVERAGEIF(Journals!$B:$B,$A34,Journals!$N:$N),2),"")</f>
        <v/>
      </c>
      <c r="D34">
        <f>IFERROR(ROUND(AVERAGEIF(Journals!$B:$B,$A34,Journals!$M:$M),2),"")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About the metrics</t>
        </is>
      </c>
    </row>
    <row r="2">
      <c r="A2" s="5" t="inlineStr">
        <is>
          <t>Read before quoting any number</t>
        </is>
      </c>
    </row>
    <row r="4">
      <c r="A4" s="7" t="inlineStr">
        <is>
          <t>OpenAlex 2-year mean citedness and h-index were retrieved from api.openalex.org/sources in September 2026 (raw JSON in 02_Journal_Strategy).</t>
        </is>
      </c>
    </row>
    <row r="5">
      <c r="A5" s="7" t="inlineStr">
        <is>
          <t>OpenAlex 2-year mean citedness is an open analogue of an impact factor but is NOT the Clarivate Journal Impact Factor.</t>
        </is>
      </c>
    </row>
    <row r="6">
      <c r="A6" s="7" t="inlineStr">
        <is>
          <t>Clarivate JIF values were not verified from an accessible primary source and are intentionally left blank.</t>
        </is>
      </c>
    </row>
    <row r="7">
      <c r="A7" s="7" t="inlineStr">
        <is>
          <t>Chartered ABS AJG and ABDC ratings should be checked on the official lists before use.</t>
        </is>
      </c>
    </row>
    <row r="8">
      <c r="A8" s="7" t="inlineStr">
        <is>
          <t>Relevance, difficulty and fit scores are team judgements for this specific project, not journal-quality ratings.</t>
        </is>
      </c>
    </row>
    <row r="9">
      <c r="A9" s="7" t="inlineStr">
        <is>
          <t>Code/data policy entries marked 'Verified' were confirmed on the journal or association policy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2026-09-18T21:06:31Z</dcterms:created>
  <dcterms:modified xmlns:dcterms="http://purl.org/dc/terms/" xmlns:xsi="http://www.w3.org/2001/XMLSchema-instance" xsi:type="dcterms:W3CDTF">2026-09-18T21:06:31Z</dcterms:modified>
</cp:coreProperties>
</file>