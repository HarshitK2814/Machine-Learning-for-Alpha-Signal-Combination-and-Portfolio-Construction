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ctorial_Cells" sheetId="3" state="visible" r:id="rId3"/>
    <sheet xmlns:r="http://schemas.openxmlformats.org/officeDocument/2006/relationships" name="Roadmap_Gantt" sheetId="4" state="visible" r:id="rId4"/>
    <sheet xmlns:r="http://schemas.openxmlformats.org/officeDocument/2006/relationships" name="Reviewer_Checklist" sheetId="5" state="visible" r:id="rId5"/>
  </sheets>
  <definedNames>
    <definedName name="_xlnm._FilterDatabase" localSheetId="0" hidden="1">'Experiments'!$A$1:$R$41</definedName>
    <definedName name="_xlnm._FilterDatabase" localSheetId="2" hidden="1">'Factorial_Cells'!$A$3:$N$19</definedName>
    <definedName name="_xlnm._FilterDatabase" localSheetId="4" hidden="1">'Reviewer_Checklist'!$A$4:$E$69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D366B"/>
      <sz val="14"/>
    </font>
    <font>
      <name val="Calibri"/>
      <i val="1"/>
      <color rgb="0052514E"/>
      <sz val="9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2">
    <border>
      <left/>
      <right/>
      <top/>
      <bottom/>
      <diagonal/>
    </border>
    <border>
      <bottom style="thin">
        <color rgb="00D9D8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9" fontId="5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6F0DF"/>
        </patternFill>
      </fill>
    </dxf>
    <dxf>
      <fill>
        <patternFill patternType="solid">
          <fgColor rgb="00FCEBC7"/>
        </patternFill>
      </fill>
    </dxf>
    <dxf>
      <fill>
        <patternFill patternType="solid">
          <fgColor rgb="00F8D7D7"/>
        </patternFill>
      </fill>
    </dxf>
    <dxf>
      <fill>
        <patternFill patternType="solid">
          <fgColor rgb="00EEEEEA"/>
        </patternFill>
      </fill>
    </dxf>
    <dxf>
      <font>
        <b val="1"/>
        <color rgb="000D366B"/>
      </font>
    </dxf>
    <dxf>
      <font>
        <color rgb="002A78D6"/>
      </font>
      <fill>
        <patternFill patternType="solid">
          <fgColor rgb="002A78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34" customWidth="1" min="4" max="4"/>
    <col width="44" customWidth="1" min="5" max="5"/>
    <col width="28" customWidth="1" min="6" max="6"/>
    <col width="24" customWidth="1" min="7" max="7"/>
    <col width="24" customWidth="1" min="8" max="8"/>
    <col width="30" customWidth="1" min="9" max="9"/>
    <col width="28" customWidth="1" min="10" max="10"/>
    <col width="36" customWidth="1" min="11" max="11"/>
    <col width="9" customWidth="1" min="12" max="12"/>
    <col width="13" customWidth="1" min="13" max="13"/>
    <col width="12" customWidth="1" min="14" max="14"/>
    <col width="10" customWidth="1" min="15" max="15"/>
    <col width="10" customWidth="1" min="16" max="16"/>
    <col width="22" customWidth="1" min="17" max="17"/>
    <col width="22" customWidth="1" min="18" max="18"/>
  </cols>
  <sheetData>
    <row r="1" ht="34" customHeight="1">
      <c r="A1" s="1" t="inlineStr">
        <is>
          <t>Experiment ID</t>
        </is>
      </c>
      <c r="B1" s="1" t="inlineStr">
        <is>
          <t>Phase</t>
        </is>
      </c>
      <c r="C1" s="1" t="inlineStr">
        <is>
          <t>Block</t>
        </is>
      </c>
      <c r="D1" s="1" t="inlineStr">
        <is>
          <t>Experiment</t>
        </is>
      </c>
      <c r="E1" s="1" t="inlineStr">
        <is>
          <t>Hypothesis</t>
        </is>
      </c>
      <c r="F1" s="1" t="inlineStr">
        <is>
          <t>Model</t>
        </is>
      </c>
      <c r="G1" s="1" t="inlineStr">
        <is>
          <t>Dataset</t>
        </is>
      </c>
      <c r="H1" s="1" t="inlineStr">
        <is>
          <t>Benchmark</t>
        </is>
      </c>
      <c r="I1" s="1" t="inlineStr">
        <is>
          <t>Metrics</t>
        </is>
      </c>
      <c r="J1" s="1" t="inlineStr">
        <is>
          <t>Statistical Test</t>
        </is>
      </c>
      <c r="K1" s="1" t="inlineStr">
        <is>
          <t>Expected Outcome (pre-registered hypothesis, not a result)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Owner</t>
        </is>
      </c>
      <c r="O1" s="1" t="inlineStr">
        <is>
          <t>Planned Start (month)</t>
        </is>
      </c>
      <c r="P1" s="1" t="inlineStr">
        <is>
          <t>Planned End (month)</t>
        </is>
      </c>
      <c r="Q1" s="1" t="inlineStr">
        <is>
          <t>Evidence Location</t>
        </is>
      </c>
      <c r="R1" s="1" t="inlineStr">
        <is>
          <t>Notes</t>
        </is>
      </c>
    </row>
    <row r="2">
      <c r="A2" s="2" t="inlineStr">
        <is>
          <t>E00</t>
        </is>
      </c>
      <c r="B2" s="3" t="n">
        <v>2</v>
      </c>
      <c r="C2" s="2" t="inlineStr">
        <is>
          <t>Data integrity</t>
        </is>
      </c>
      <c r="D2" s="2" t="inlineStr">
        <is>
          <t>Point-in-time panel audit</t>
        </is>
      </c>
      <c r="E2" s="2" t="inlineStr">
        <is>
          <t>Panel has no look-ahead: accounting data lagged by availability date; delisting returns applied.</t>
        </is>
      </c>
      <c r="F2" s="2" t="inlineStr">
        <is>
          <t>n/a</t>
        </is>
      </c>
      <c r="G2" s="2" t="inlineStr">
        <is>
          <t>CRSP/Compustat monthly 1963-2025</t>
        </is>
      </c>
      <c r="H2" s="2" t="inlineStr">
        <is>
          <t>CRSP value-weighted index; Ken French factors</t>
        </is>
      </c>
      <c r="I2" s="2" t="inlineStr">
        <is>
          <t>Correlation of rebuilt FF factors with Ken French series; missing-share by year</t>
        </is>
      </c>
      <c r="J2" s="2" t="inlineStr">
        <is>
          <t>Correlation &gt; 0.95 threshold</t>
        </is>
      </c>
      <c r="K2" s="2" t="inlineStr">
        <is>
          <t>Rebuilt factors match library closely</t>
        </is>
      </c>
      <c r="L2" s="3" t="inlineStr">
        <is>
          <t>Must</t>
        </is>
      </c>
      <c r="M2" s="3" t="inlineStr">
        <is>
          <t>Not started</t>
        </is>
      </c>
      <c r="N2" s="2" t="inlineStr"/>
      <c r="O2" s="3" t="n">
        <v>2</v>
      </c>
      <c r="P2" s="3" t="n">
        <v>4</v>
      </c>
      <c r="Q2" s="2" t="inlineStr"/>
      <c r="R2" s="2" t="inlineStr"/>
    </row>
    <row r="3">
      <c r="A3" s="2" t="inlineStr">
        <is>
          <t>E01</t>
        </is>
      </c>
      <c r="B3" s="3" t="n">
        <v>3</v>
      </c>
      <c r="C3" s="2" t="inlineStr">
        <is>
          <t>Signal library</t>
        </is>
      </c>
      <c r="D3" s="2" t="inlineStr">
        <is>
          <t>Signal replication vs original papers</t>
        </is>
      </c>
      <c r="E3" s="2" t="inlineStr">
        <is>
          <t>Rebuilt signals reproduce published long-short t-stats.</t>
        </is>
      </c>
      <c r="F3" s="2" t="inlineStr">
        <is>
          <t>Univariate sorts</t>
        </is>
      </c>
      <c r="G3" s="2" t="inlineStr">
        <is>
          <t>Signal panel (JKP/OpenAP definitions)</t>
        </is>
      </c>
      <c r="H3" s="2" t="inlineStr">
        <is>
          <t>Chen-Zimmermann reproduced t-stats</t>
        </is>
      </c>
      <c r="I3" s="2" t="inlineStr">
        <is>
          <t>Slope/R2 of our t-stats on theirs</t>
        </is>
      </c>
      <c r="J3" s="2" t="inlineStr">
        <is>
          <t>Regression; share with t&gt;1.96</t>
        </is>
      </c>
      <c r="K3" s="2" t="inlineStr">
        <is>
          <t>Slope near CZ2022's 0.88; R2 high</t>
        </is>
      </c>
      <c r="L3" s="3" t="inlineStr">
        <is>
          <t>Must</t>
        </is>
      </c>
      <c r="M3" s="3" t="inlineStr">
        <is>
          <t>Not started</t>
        </is>
      </c>
      <c r="N3" s="2" t="inlineStr"/>
      <c r="O3" s="3" t="n">
        <v>3</v>
      </c>
      <c r="P3" s="3" t="n">
        <v>5</v>
      </c>
      <c r="Q3" s="2" t="inlineStr"/>
      <c r="R3" s="2" t="inlineStr"/>
    </row>
    <row r="4">
      <c r="A4" s="2" t="inlineStr">
        <is>
          <t>E02</t>
        </is>
      </c>
      <c r="B4" s="3" t="n">
        <v>3</v>
      </c>
      <c r="C4" s="2" t="inlineStr">
        <is>
          <t>Signal library</t>
        </is>
      </c>
      <c r="D4" s="2" t="inlineStr">
        <is>
          <t>Signal quality and decay profile</t>
        </is>
      </c>
      <c r="E4" s="2" t="inlineStr">
        <is>
          <t>Signals differ in IC decay speed and turnover; fast signals are costlier.</t>
        </is>
      </c>
      <c r="F4" s="2" t="inlineStr">
        <is>
          <t>Univariate IC by horizon 1-12m</t>
        </is>
      </c>
      <c r="G4" s="2" t="inlineStr">
        <is>
          <t>Signal panel</t>
        </is>
      </c>
      <c r="H4" s="2" t="inlineStr">
        <is>
          <t>n/a</t>
        </is>
      </c>
      <c r="I4" s="2" t="inlineStr">
        <is>
          <t>Mean IC, ICIR, IC half-life, signal autocorrelation, implied turnover</t>
        </is>
      </c>
      <c r="J4" s="2" t="inlineStr">
        <is>
          <t>Newey-West t on IC</t>
        </is>
      </c>
      <c r="K4" s="2" t="inlineStr">
        <is>
          <t>Wide heterogeneity; price-based signals decay fastest</t>
        </is>
      </c>
      <c r="L4" s="3" t="inlineStr">
        <is>
          <t>Must</t>
        </is>
      </c>
      <c r="M4" s="3" t="inlineStr">
        <is>
          <t>Not started</t>
        </is>
      </c>
      <c r="N4" s="2" t="inlineStr"/>
      <c r="O4" s="3" t="n">
        <v>3</v>
      </c>
      <c r="P4" s="3" t="n">
        <v>5</v>
      </c>
      <c r="Q4" s="2" t="inlineStr"/>
      <c r="R4" s="2" t="inlineStr"/>
    </row>
    <row r="5">
      <c r="A5" s="2" t="inlineStr">
        <is>
          <t>E03</t>
        </is>
      </c>
      <c r="B5" s="3" t="n">
        <v>3</v>
      </c>
      <c r="C5" s="2" t="inlineStr">
        <is>
          <t>Signal library</t>
        </is>
      </c>
      <c r="D5" s="2" t="inlineStr">
        <is>
          <t>Redundancy and clustering</t>
        </is>
      </c>
      <c r="E5" s="2" t="inlineStr">
        <is>
          <t>Signals cluster into ~13 themes; within-theme redundancy is high.</t>
        </is>
      </c>
      <c r="F5" s="2" t="inlineStr">
        <is>
          <t>Hierarchical clustering on rank correlations of signals and of signal returns</t>
        </is>
      </c>
      <c r="G5" s="2" t="inlineStr">
        <is>
          <t>Signal panel</t>
        </is>
      </c>
      <c r="H5" s="2" t="inlineStr">
        <is>
          <t>JKP 13 themes</t>
        </is>
      </c>
      <c r="I5" s="2" t="inlineStr">
        <is>
          <t>Cluster purity, effective number of signals</t>
        </is>
      </c>
      <c r="J5" s="2" t="inlineStr">
        <is>
          <t>Bootstrap cluster stability</t>
        </is>
      </c>
      <c r="K5" s="2" t="inlineStr">
        <is>
          <t>Clusters broadly align with JKP themes</t>
        </is>
      </c>
      <c r="L5" s="3" t="inlineStr">
        <is>
          <t>Should</t>
        </is>
      </c>
      <c r="M5" s="3" t="inlineStr">
        <is>
          <t>Not started</t>
        </is>
      </c>
      <c r="N5" s="2" t="inlineStr"/>
      <c r="O5" s="3" t="n">
        <v>3</v>
      </c>
      <c r="P5" s="3" t="n">
        <v>5</v>
      </c>
      <c r="Q5" s="2" t="inlineStr"/>
      <c r="R5" s="2" t="inlineStr"/>
    </row>
    <row r="6">
      <c r="A6" s="2" t="inlineStr">
        <is>
          <t>E10</t>
        </is>
      </c>
      <c r="B6" s="3" t="n">
        <v>4</v>
      </c>
      <c r="C6" s="2" t="inlineStr">
        <is>
          <t>Baselines</t>
        </is>
      </c>
      <c r="D6" s="2" t="inlineStr">
        <is>
          <t>Naive combinations</t>
        </is>
      </c>
      <c r="E6" s="2" t="inlineStr">
        <is>
          <t>Equal-weight z-score, theme-EW, IC-weighted, ICIR-weighted and inverse-vol combinations are strong net-of-cost baselines.</t>
        </is>
      </c>
      <c r="F6" s="2" t="inlineStr">
        <is>
          <t>Rule-based</t>
        </is>
      </c>
      <c r="G6" s="2" t="inlineStr">
        <is>
          <t>Main universe</t>
        </is>
      </c>
      <c r="H6" s="2" t="inlineStr">
        <is>
          <t>Each other</t>
        </is>
      </c>
      <c r="I6" s="2" t="inlineStr">
        <is>
          <t>IC, gross/net Sharpe, turnover</t>
        </is>
      </c>
      <c r="J6" s="2" t="inlineStr">
        <is>
          <t>Ledoit-Wolf Sharpe difference</t>
        </is>
      </c>
      <c r="K6" s="2" t="inlineStr">
        <is>
          <t>Simple combos have low turnover and competitive net Sharpe</t>
        </is>
      </c>
      <c r="L6" s="3" t="inlineStr">
        <is>
          <t>Must</t>
        </is>
      </c>
      <c r="M6" s="3" t="inlineStr">
        <is>
          <t>Not started</t>
        </is>
      </c>
      <c r="N6" s="2" t="inlineStr"/>
      <c r="O6" s="3" t="n">
        <v>5</v>
      </c>
      <c r="P6" s="3" t="n">
        <v>6</v>
      </c>
      <c r="Q6" s="2" t="inlineStr"/>
      <c r="R6" s="2" t="inlineStr"/>
    </row>
    <row r="7">
      <c r="A7" s="2" t="inlineStr">
        <is>
          <t>E11</t>
        </is>
      </c>
      <c r="B7" s="3" t="n">
        <v>4</v>
      </c>
      <c r="C7" s="2" t="inlineStr">
        <is>
          <t>Baselines</t>
        </is>
      </c>
      <c r="D7" s="2" t="inlineStr">
        <is>
          <t>Linear statistical combinations</t>
        </is>
      </c>
      <c r="E7" s="2" t="inlineStr">
        <is>
          <t>Fama-MacBeth (Lewellen), ridge, elastic net, PLS improve IC over naive.</t>
        </is>
      </c>
      <c r="F7" s="2" t="inlineStr">
        <is>
          <t>FM rolling slopes; ridge; ENet; PLS</t>
        </is>
      </c>
      <c r="G7" s="2" t="inlineStr">
        <is>
          <t>Main universe</t>
        </is>
      </c>
      <c r="H7" s="2" t="inlineStr">
        <is>
          <t>E10 best</t>
        </is>
      </c>
      <c r="I7" s="2" t="inlineStr">
        <is>
          <t>OOS R2, IC, net Sharpe</t>
        </is>
      </c>
      <c r="J7" s="2" t="inlineStr">
        <is>
          <t>Clark-West; DM</t>
        </is>
      </c>
      <c r="K7" s="2" t="inlineStr">
        <is>
          <t>Modest IC gain; net gain uncertain</t>
        </is>
      </c>
      <c r="L7" s="3" t="inlineStr">
        <is>
          <t>Must</t>
        </is>
      </c>
      <c r="M7" s="3" t="inlineStr">
        <is>
          <t>Not started</t>
        </is>
      </c>
      <c r="N7" s="2" t="inlineStr"/>
      <c r="O7" s="3" t="n">
        <v>5</v>
      </c>
      <c r="P7" s="3" t="n">
        <v>6</v>
      </c>
      <c r="Q7" s="2" t="inlineStr"/>
      <c r="R7" s="2" t="inlineStr"/>
    </row>
    <row r="8">
      <c r="A8" s="2" t="inlineStr">
        <is>
          <t>E12</t>
        </is>
      </c>
      <c r="B8" s="3" t="n">
        <v>4</v>
      </c>
      <c r="C8" s="2" t="inlineStr">
        <is>
          <t>Baselines</t>
        </is>
      </c>
      <c r="D8" s="2" t="inlineStr">
        <is>
          <t>Mean-variance signal-portfolio combination</t>
        </is>
      </c>
      <c r="E8" s="2" t="inlineStr">
        <is>
          <t>KNS-style shrunk SDF over signal portfolios is a strong linear benchmark.</t>
        </is>
      </c>
      <c r="F8" s="2" t="inlineStr">
        <is>
          <t>KNS2020 L2-shrinkage SDF</t>
        </is>
      </c>
      <c r="G8" s="2" t="inlineStr">
        <is>
          <t>Signal long-short portfolios</t>
        </is>
      </c>
      <c r="H8" s="2" t="inlineStr">
        <is>
          <t>E10/E11</t>
        </is>
      </c>
      <c r="I8" s="2" t="inlineStr">
        <is>
          <t>Net Sharpe</t>
        </is>
      </c>
      <c r="J8" s="2" t="inlineStr">
        <is>
          <t>LW2008 test</t>
        </is>
      </c>
      <c r="K8" s="2" t="inlineStr">
        <is>
          <t>Competitive gross, higher turnover</t>
        </is>
      </c>
      <c r="L8" s="3" t="inlineStr">
        <is>
          <t>Must</t>
        </is>
      </c>
      <c r="M8" s="3" t="inlineStr">
        <is>
          <t>Not started</t>
        </is>
      </c>
      <c r="N8" s="2" t="inlineStr"/>
      <c r="O8" s="3" t="n">
        <v>5</v>
      </c>
      <c r="P8" s="3" t="n">
        <v>6</v>
      </c>
      <c r="Q8" s="2" t="inlineStr"/>
      <c r="R8" s="2" t="inlineStr"/>
    </row>
    <row r="9">
      <c r="A9" s="2" t="inlineStr">
        <is>
          <t>E13</t>
        </is>
      </c>
      <c r="B9" s="3" t="n">
        <v>4</v>
      </c>
      <c r="C9" s="2" t="inlineStr">
        <is>
          <t>Baselines</t>
        </is>
      </c>
      <c r="D9" s="2" t="inlineStr">
        <is>
          <t>Published ML benchmarks</t>
        </is>
      </c>
      <c r="E9" s="2" t="inlineStr">
        <is>
          <t>GKX-style NN/GBDT and JKMP Portfolio-ML replicate approximately.</t>
        </is>
      </c>
      <c r="F9" s="2" t="inlineStr">
        <is>
          <t>GKX NN3; LightGBM; JKMP Portfolio-ML code</t>
        </is>
      </c>
      <c r="G9" s="2" t="inlineStr">
        <is>
          <t>Main universe</t>
        </is>
      </c>
      <c r="H9" s="2" t="inlineStr">
        <is>
          <t>Published numbers</t>
        </is>
      </c>
      <c r="I9" s="2" t="inlineStr">
        <is>
          <t>IC, OOS R2, net Sharpe</t>
        </is>
      </c>
      <c r="J9" s="2" t="inlineStr">
        <is>
          <t>Tracking vs published</t>
        </is>
      </c>
      <c r="K9" s="2" t="inlineStr">
        <is>
          <t>Directionally consistent replication</t>
        </is>
      </c>
      <c r="L9" s="3" t="inlineStr">
        <is>
          <t>Must</t>
        </is>
      </c>
      <c r="M9" s="3" t="inlineStr">
        <is>
          <t>Not started</t>
        </is>
      </c>
      <c r="N9" s="2" t="inlineStr"/>
      <c r="O9" s="3" t="n">
        <v>5</v>
      </c>
      <c r="P9" s="3" t="n">
        <v>6</v>
      </c>
      <c r="Q9" s="2" t="inlineStr"/>
      <c r="R9" s="2" t="inlineStr"/>
    </row>
    <row r="10">
      <c r="A10" s="2" t="inlineStr">
        <is>
          <t>E14</t>
        </is>
      </c>
      <c r="B10" s="3" t="n">
        <v>4</v>
      </c>
      <c r="C10" s="2" t="inlineStr">
        <is>
          <t>Baselines</t>
        </is>
      </c>
      <c r="D10" s="2" t="inlineStr">
        <is>
          <t>Linear cost-aware PPP</t>
        </is>
      </c>
      <c r="E10" s="2" t="inlineStr">
        <is>
          <t>DMNU-style linear PPP with costs is a strong implementable benchmark.</t>
        </is>
      </c>
      <c r="F10" s="2" t="inlineStr">
        <is>
          <t>Linear PPP with TC</t>
        </is>
      </c>
      <c r="G10" s="2" t="inlineStr">
        <is>
          <t>Main universe</t>
        </is>
      </c>
      <c r="H10" s="2" t="inlineStr">
        <is>
          <t>E10-E13</t>
        </is>
      </c>
      <c r="I10" s="2" t="inlineStr">
        <is>
          <t>Net utility, net Sharpe</t>
        </is>
      </c>
      <c r="J10" s="2" t="inlineStr">
        <is>
          <t>LW2008; SPA</t>
        </is>
      </c>
      <c r="K10" s="2" t="inlineStr">
        <is>
          <t>Beats cost-agnostic linear models net</t>
        </is>
      </c>
      <c r="L10" s="3" t="inlineStr">
        <is>
          <t>Must</t>
        </is>
      </c>
      <c r="M10" s="3" t="inlineStr">
        <is>
          <t>Not started</t>
        </is>
      </c>
      <c r="N10" s="2" t="inlineStr"/>
      <c r="O10" s="3" t="n">
        <v>5</v>
      </c>
      <c r="P10" s="3" t="n">
        <v>6</v>
      </c>
      <c r="Q10" s="2" t="inlineStr"/>
      <c r="R10" s="2" t="inlineStr"/>
    </row>
    <row r="11">
      <c r="A11" s="2" t="inlineStr">
        <is>
          <t>E20</t>
        </is>
      </c>
      <c r="B11" s="3" t="n">
        <v>5</v>
      </c>
      <c r="C11" s="2" t="inlineStr">
        <is>
          <t>Factorial core</t>
        </is>
      </c>
      <c r="D11" s="2" t="inlineStr">
        <is>
          <t>Cell LS-P: Linear, Static, Prediction loss</t>
        </is>
      </c>
      <c r="E11" s="2" t="inlineStr">
        <is>
          <t>Reference cell.</t>
        </is>
      </c>
      <c r="F11" s="2" t="inlineStr">
        <is>
          <t>Ridge</t>
        </is>
      </c>
      <c r="G11" s="2" t="inlineStr">
        <is>
          <t>Main universe</t>
        </is>
      </c>
      <c r="H11" s="2" t="inlineStr">
        <is>
          <t>-</t>
        </is>
      </c>
      <c r="I11" s="2" t="inlineStr">
        <is>
          <t>All core metrics</t>
        </is>
      </c>
      <c r="J11" s="2" t="inlineStr">
        <is>
          <t>-</t>
        </is>
      </c>
      <c r="K11" s="2" t="inlineStr">
        <is>
          <t>Reference</t>
        </is>
      </c>
      <c r="L11" s="3" t="inlineStr">
        <is>
          <t>Must</t>
        </is>
      </c>
      <c r="M11" s="3" t="inlineStr">
        <is>
          <t>Not started</t>
        </is>
      </c>
      <c r="N11" s="2" t="inlineStr"/>
      <c r="O11" s="3" t="n">
        <v>6</v>
      </c>
      <c r="P11" s="3" t="n">
        <v>9</v>
      </c>
      <c r="Q11" s="2" t="inlineStr"/>
      <c r="R11" s="2" t="inlineStr"/>
    </row>
    <row r="12">
      <c r="A12" s="2" t="inlineStr">
        <is>
          <t>E21</t>
        </is>
      </c>
      <c r="B12" s="3" t="n">
        <v>5</v>
      </c>
      <c r="C12" s="2" t="inlineStr">
        <is>
          <t>Factorial core</t>
        </is>
      </c>
      <c r="D12" s="2" t="inlineStr">
        <is>
          <t>Cell NS-P: Nonlinear, Static, Prediction loss</t>
        </is>
      </c>
      <c r="E12" s="2" t="inlineStr">
        <is>
          <t>H1: nonlinearity raises gross IC/Sharpe vs LS-P.</t>
        </is>
      </c>
      <c r="F12" s="2" t="inlineStr">
        <is>
          <t>LightGBM + NN ensemble</t>
        </is>
      </c>
      <c r="G12" s="2" t="inlineStr">
        <is>
          <t>Main universe</t>
        </is>
      </c>
      <c r="H12" s="2" t="inlineStr">
        <is>
          <t>E20</t>
        </is>
      </c>
      <c r="I12" s="2" t="inlineStr">
        <is>
          <t>Gross and net deltas</t>
        </is>
      </c>
      <c r="J12" s="2" t="inlineStr">
        <is>
          <t>Clark-West; LW2008; SPA</t>
        </is>
      </c>
      <c r="K12" s="2" t="inlineStr">
        <is>
          <t>Gross gain; net gain at least 50% smaller</t>
        </is>
      </c>
      <c r="L12" s="3" t="inlineStr">
        <is>
          <t>Must</t>
        </is>
      </c>
      <c r="M12" s="3" t="inlineStr">
        <is>
          <t>Not started</t>
        </is>
      </c>
      <c r="N12" s="2" t="inlineStr"/>
      <c r="O12" s="3" t="n">
        <v>6</v>
      </c>
      <c r="P12" s="3" t="n">
        <v>9</v>
      </c>
      <c r="Q12" s="2" t="inlineStr"/>
      <c r="R12" s="2" t="inlineStr"/>
    </row>
    <row r="13">
      <c r="A13" s="2" t="inlineStr">
        <is>
          <t>E22</t>
        </is>
      </c>
      <c r="B13" s="3" t="n">
        <v>5</v>
      </c>
      <c r="C13" s="2" t="inlineStr">
        <is>
          <t>Factorial core</t>
        </is>
      </c>
      <c r="D13" s="2" t="inlineStr">
        <is>
          <t>Cell LC-P: Linear, Conditional, Prediction loss</t>
        </is>
      </c>
      <c r="E13" s="2" t="inlineStr">
        <is>
          <t>H2a: conditioning adds little net value under prediction loss.</t>
        </is>
      </c>
      <c r="F13" s="2" t="inlineStr">
        <is>
          <t>Ridge with signal x state interactions</t>
        </is>
      </c>
      <c r="G13" s="2" t="inlineStr">
        <is>
          <t>Main universe</t>
        </is>
      </c>
      <c r="H13" s="2" t="inlineStr">
        <is>
          <t>E20</t>
        </is>
      </c>
      <c r="I13" s="2" t="inlineStr">
        <is>
          <t>Net delta; turnover</t>
        </is>
      </c>
      <c r="J13" s="2" t="inlineStr">
        <is>
          <t>SPA; Clark-West</t>
        </is>
      </c>
      <c r="K13" s="2" t="inlineStr">
        <is>
          <t>Small/insignificant net gain</t>
        </is>
      </c>
      <c r="L13" s="3" t="inlineStr">
        <is>
          <t>Must</t>
        </is>
      </c>
      <c r="M13" s="3" t="inlineStr">
        <is>
          <t>Not started</t>
        </is>
      </c>
      <c r="N13" s="2" t="inlineStr"/>
      <c r="O13" s="3" t="n">
        <v>6</v>
      </c>
      <c r="P13" s="3" t="n">
        <v>9</v>
      </c>
      <c r="Q13" s="2" t="inlineStr"/>
      <c r="R13" s="2" t="inlineStr"/>
    </row>
    <row r="14">
      <c r="A14" s="2" t="inlineStr">
        <is>
          <t>E23</t>
        </is>
      </c>
      <c r="B14" s="3" t="n">
        <v>5</v>
      </c>
      <c r="C14" s="2" t="inlineStr">
        <is>
          <t>Factorial core</t>
        </is>
      </c>
      <c r="D14" s="2" t="inlineStr">
        <is>
          <t>Cell NC-P: Nonlinear, Conditional, Prediction loss</t>
        </is>
      </c>
      <c r="E14" s="2" t="inlineStr">
        <is>
          <t>Nonlinear conditioning under prediction loss increases turnover.</t>
        </is>
      </c>
      <c r="F14" s="2" t="inlineStr">
        <is>
          <t>Gated MoE / GBDT with states</t>
        </is>
      </c>
      <c r="G14" s="2" t="inlineStr">
        <is>
          <t>Main universe</t>
        </is>
      </c>
      <c r="H14" s="2" t="inlineStr">
        <is>
          <t>E21, E22</t>
        </is>
      </c>
      <c r="I14" s="2" t="inlineStr">
        <is>
          <t>Net delta; turnover</t>
        </is>
      </c>
      <c r="J14" s="2" t="inlineStr">
        <is>
          <t>SPA; MCS</t>
        </is>
      </c>
      <c r="K14" s="2" t="inlineStr">
        <is>
          <t>Higher gross, uncertain net</t>
        </is>
      </c>
      <c r="L14" s="3" t="inlineStr">
        <is>
          <t>Must</t>
        </is>
      </c>
      <c r="M14" s="3" t="inlineStr">
        <is>
          <t>Not started</t>
        </is>
      </c>
      <c r="N14" s="2" t="inlineStr"/>
      <c r="O14" s="3" t="n">
        <v>6</v>
      </c>
      <c r="P14" s="3" t="n">
        <v>9</v>
      </c>
      <c r="Q14" s="2" t="inlineStr"/>
      <c r="R14" s="2" t="inlineStr"/>
    </row>
    <row r="15">
      <c r="A15" s="2" t="inlineStr">
        <is>
          <t>E24</t>
        </is>
      </c>
      <c r="B15" s="3" t="n">
        <v>5</v>
      </c>
      <c r="C15" s="2" t="inlineStr">
        <is>
          <t>Factorial core</t>
        </is>
      </c>
      <c r="D15" s="2" t="inlineStr">
        <is>
          <t>Cell LS-E: Linear, Static, Economic loss</t>
        </is>
      </c>
      <c r="E15" s="2" t="inlineStr">
        <is>
          <t>H3: economic loss improves net utility vs LS-P.</t>
        </is>
      </c>
      <c r="F15" s="2" t="inlineStr">
        <is>
          <t>Linear PPP with TC</t>
        </is>
      </c>
      <c r="G15" s="2" t="inlineStr">
        <is>
          <t>Main universe</t>
        </is>
      </c>
      <c r="H15" s="2" t="inlineStr">
        <is>
          <t>E20</t>
        </is>
      </c>
      <c r="I15" s="2" t="inlineStr">
        <is>
          <t>Net utility</t>
        </is>
      </c>
      <c r="J15" s="2" t="inlineStr">
        <is>
          <t>LW2008; SPA</t>
        </is>
      </c>
      <c r="K15" s="2" t="inlineStr">
        <is>
          <t>Positive net gain</t>
        </is>
      </c>
      <c r="L15" s="3" t="inlineStr">
        <is>
          <t>Must</t>
        </is>
      </c>
      <c r="M15" s="3" t="inlineStr">
        <is>
          <t>Not started</t>
        </is>
      </c>
      <c r="N15" s="2" t="inlineStr"/>
      <c r="O15" s="3" t="n">
        <v>6</v>
      </c>
      <c r="P15" s="3" t="n">
        <v>9</v>
      </c>
      <c r="Q15" s="2" t="inlineStr"/>
      <c r="R15" s="2" t="inlineStr"/>
    </row>
    <row r="16">
      <c r="A16" s="2" t="inlineStr">
        <is>
          <t>E25</t>
        </is>
      </c>
      <c r="B16" s="3" t="n">
        <v>5</v>
      </c>
      <c r="C16" s="2" t="inlineStr">
        <is>
          <t>Factorial core</t>
        </is>
      </c>
      <c r="D16" s="2" t="inlineStr">
        <is>
          <t>Cell NS-E: Nonlinear, Static, Economic loss</t>
        </is>
      </c>
      <c r="E16" s="2" t="inlineStr">
        <is>
          <t>Nonlinear economic-loss learning (Portfolio-ML-type).</t>
        </is>
      </c>
      <c r="F16" s="2" t="inlineStr">
        <is>
          <t>NN/RFF weight learner with TC</t>
        </is>
      </c>
      <c r="G16" s="2" t="inlineStr">
        <is>
          <t>Main universe</t>
        </is>
      </c>
      <c r="H16" s="2" t="inlineStr">
        <is>
          <t>E21, E24</t>
        </is>
      </c>
      <c r="I16" s="2" t="inlineStr">
        <is>
          <t>Net utility</t>
        </is>
      </c>
      <c r="J16" s="2" t="inlineStr">
        <is>
          <t>SPA; MCS</t>
        </is>
      </c>
      <c r="K16" s="2" t="inlineStr">
        <is>
          <t>Among best static cells</t>
        </is>
      </c>
      <c r="L16" s="3" t="inlineStr">
        <is>
          <t>Must</t>
        </is>
      </c>
      <c r="M16" s="3" t="inlineStr">
        <is>
          <t>Not started</t>
        </is>
      </c>
      <c r="N16" s="2" t="inlineStr"/>
      <c r="O16" s="3" t="n">
        <v>6</v>
      </c>
      <c r="P16" s="3" t="n">
        <v>9</v>
      </c>
      <c r="Q16" s="2" t="inlineStr"/>
      <c r="R16" s="2" t="inlineStr"/>
    </row>
    <row r="17">
      <c r="A17" s="2" t="inlineStr">
        <is>
          <t>E26</t>
        </is>
      </c>
      <c r="B17" s="3" t="n">
        <v>5</v>
      </c>
      <c r="C17" s="2" t="inlineStr">
        <is>
          <t>Factorial core</t>
        </is>
      </c>
      <c r="D17" s="2" t="inlineStr">
        <is>
          <t>Cell LC-E: Linear, Conditional, Economic loss</t>
        </is>
      </c>
      <c r="E17" s="2" t="inlineStr">
        <is>
          <t>H2b: conditioning adds net value when costs are internalised.</t>
        </is>
      </c>
      <c r="F17" s="2" t="inlineStr">
        <is>
          <t>Conditional linear PPP with TC</t>
        </is>
      </c>
      <c r="G17" s="2" t="inlineStr">
        <is>
          <t>Main universe</t>
        </is>
      </c>
      <c r="H17" s="2" t="inlineStr">
        <is>
          <t>E24</t>
        </is>
      </c>
      <c r="I17" s="2" t="inlineStr">
        <is>
          <t>Net delta</t>
        </is>
      </c>
      <c r="J17" s="2" t="inlineStr">
        <is>
          <t>SPA; Clark-West-type</t>
        </is>
      </c>
      <c r="K17" s="2" t="inlineStr">
        <is>
          <t>Positive net gain (interaction)</t>
        </is>
      </c>
      <c r="L17" s="3" t="inlineStr">
        <is>
          <t>Must</t>
        </is>
      </c>
      <c r="M17" s="3" t="inlineStr">
        <is>
          <t>Not started</t>
        </is>
      </c>
      <c r="N17" s="2" t="inlineStr"/>
      <c r="O17" s="3" t="n">
        <v>6</v>
      </c>
      <c r="P17" s="3" t="n">
        <v>9</v>
      </c>
      <c r="Q17" s="2" t="inlineStr"/>
      <c r="R17" s="2" t="inlineStr"/>
    </row>
    <row r="18">
      <c r="A18" s="2" t="inlineStr">
        <is>
          <t>E27</t>
        </is>
      </c>
      <c r="B18" s="3" t="n">
        <v>5</v>
      </c>
      <c r="C18" s="2" t="inlineStr">
        <is>
          <t>Factorial core</t>
        </is>
      </c>
      <c r="D18" s="2" t="inlineStr">
        <is>
          <t>Cell NC-E: Nonlinear, Conditional, Economic loss</t>
        </is>
      </c>
      <c r="E18" s="2" t="inlineStr">
        <is>
          <t>Full model.</t>
        </is>
      </c>
      <c r="F18" s="2" t="inlineStr">
        <is>
          <t>Gated nonlinear weight learner with TC</t>
        </is>
      </c>
      <c r="G18" s="2" t="inlineStr">
        <is>
          <t>Main universe</t>
        </is>
      </c>
      <c r="H18" s="2" t="inlineStr">
        <is>
          <t>All cells</t>
        </is>
      </c>
      <c r="I18" s="2" t="inlineStr">
        <is>
          <t>Net utility; frontier</t>
        </is>
      </c>
      <c r="J18" s="2" t="inlineStr">
        <is>
          <t>MCS; SPA; DSR; PBO</t>
        </is>
      </c>
      <c r="K18" s="2" t="inlineStr">
        <is>
          <t>Best or statistically tied best</t>
        </is>
      </c>
      <c r="L18" s="3" t="inlineStr">
        <is>
          <t>Must</t>
        </is>
      </c>
      <c r="M18" s="3" t="inlineStr">
        <is>
          <t>Not started</t>
        </is>
      </c>
      <c r="N18" s="2" t="inlineStr"/>
      <c r="O18" s="3" t="n">
        <v>6</v>
      </c>
      <c r="P18" s="3" t="n">
        <v>9</v>
      </c>
      <c r="Q18" s="2" t="inlineStr"/>
      <c r="R18" s="2" t="inlineStr"/>
    </row>
    <row r="19">
      <c r="A19" s="2" t="inlineStr">
        <is>
          <t>E28</t>
        </is>
      </c>
      <c r="B19" s="3" t="n">
        <v>5</v>
      </c>
      <c r="C19" s="2" t="inlineStr">
        <is>
          <t>Factorial core</t>
        </is>
      </c>
      <c r="D19" s="2" t="inlineStr">
        <is>
          <t>Uncertainty dimension (x8 cells)</t>
        </is>
      </c>
      <c r="E19" s="2" t="inlineStr">
        <is>
          <t>H4: uncertainty shrinkage reduces turnover and raises net Sharpe.</t>
        </is>
      </c>
      <c r="F19" s="2" t="inlineStr">
        <is>
          <t>Deep ensembles / bootstrap SE shrinkage</t>
        </is>
      </c>
      <c r="G19" s="2" t="inlineStr">
        <is>
          <t>Main universe</t>
        </is>
      </c>
      <c r="H19" s="2" t="inlineStr">
        <is>
          <t>Same cell without shrinkage</t>
        </is>
      </c>
      <c r="I19" s="2" t="inlineStr">
        <is>
          <t>Turnover, net Sharpe</t>
        </is>
      </c>
      <c r="J19" s="2" t="inlineStr">
        <is>
          <t>LW2008; paired bootstrap</t>
        </is>
      </c>
      <c r="K19" s="2" t="inlineStr">
        <is>
          <t>Lower turnover; higher net Sharpe</t>
        </is>
      </c>
      <c r="L19" s="3" t="inlineStr">
        <is>
          <t>Must</t>
        </is>
      </c>
      <c r="M19" s="3" t="inlineStr">
        <is>
          <t>Not started</t>
        </is>
      </c>
      <c r="N19" s="2" t="inlineStr"/>
      <c r="O19" s="3" t="n">
        <v>6</v>
      </c>
      <c r="P19" s="3" t="n">
        <v>9</v>
      </c>
      <c r="Q19" s="2" t="inlineStr"/>
      <c r="R19" s="2" t="inlineStr"/>
    </row>
    <row r="20">
      <c r="A20" s="2" t="inlineStr">
        <is>
          <t>E29</t>
        </is>
      </c>
      <c r="B20" s="3" t="n">
        <v>5</v>
      </c>
      <c r="C20" s="2" t="inlineStr">
        <is>
          <t>Factorial core</t>
        </is>
      </c>
      <c r="D20" s="2" t="inlineStr">
        <is>
          <t>ANOVA-style decomposition of net value</t>
        </is>
      </c>
      <c r="E20" s="2" t="inlineStr">
        <is>
          <t>Main effects and interactions of the four factors can be separated.</t>
        </is>
      </c>
      <c r="F20" s="2" t="inlineStr">
        <is>
          <t>Two-way/four-way decomposition on monthly net returns</t>
        </is>
      </c>
      <c r="G20" s="2" t="inlineStr">
        <is>
          <t>Cell return panel</t>
        </is>
      </c>
      <c r="H20" s="2" t="inlineStr">
        <is>
          <t>-</t>
        </is>
      </c>
      <c r="I20" s="2" t="inlineStr">
        <is>
          <t>Main-effect and interaction contributions</t>
        </is>
      </c>
      <c r="J20" s="2" t="inlineStr">
        <is>
          <t>Block bootstrap CIs</t>
        </is>
      </c>
      <c r="K20" s="2" t="inlineStr">
        <is>
          <t>Objective main effect largest; state x objective interaction positive</t>
        </is>
      </c>
      <c r="L20" s="3" t="inlineStr">
        <is>
          <t>Must</t>
        </is>
      </c>
      <c r="M20" s="3" t="inlineStr">
        <is>
          <t>Not started</t>
        </is>
      </c>
      <c r="N20" s="2" t="inlineStr"/>
      <c r="O20" s="3" t="n">
        <v>6</v>
      </c>
      <c r="P20" s="3" t="n">
        <v>9</v>
      </c>
      <c r="Q20" s="2" t="inlineStr"/>
      <c r="R20" s="2" t="inlineStr"/>
    </row>
    <row r="21">
      <c r="A21" s="2" t="inlineStr">
        <is>
          <t>E30</t>
        </is>
      </c>
      <c r="B21" s="3" t="n">
        <v>6</v>
      </c>
      <c r="C21" s="2" t="inlineStr">
        <is>
          <t>Portfolio &amp; costs</t>
        </is>
      </c>
      <c r="D21" s="2" t="inlineStr">
        <is>
          <t>Implementable efficient frontier</t>
        </is>
      </c>
      <c r="E21" s="2" t="inlineStr">
        <is>
          <t>Frontier ranking of cells is stable across AUM.</t>
        </is>
      </c>
      <c r="F21" s="2" t="inlineStr">
        <is>
          <t>All cells</t>
        </is>
      </c>
      <c r="G21" s="2" t="inlineStr">
        <is>
          <t>AUM $0.1bn/$1bn/$10bn (2020$)</t>
        </is>
      </c>
      <c r="H21" s="2" t="inlineStr">
        <is>
          <t>1/N; market</t>
        </is>
      </c>
      <c r="I21" s="2" t="inlineStr">
        <is>
          <t>Net return vs risk curves</t>
        </is>
      </c>
      <c r="J21" s="2" t="inlineStr">
        <is>
          <t>Bootstrap bands</t>
        </is>
      </c>
      <c r="K21" s="2" t="inlineStr">
        <is>
          <t>Cost-aware cells dominate at high AUM</t>
        </is>
      </c>
      <c r="L21" s="3" t="inlineStr">
        <is>
          <t>Must</t>
        </is>
      </c>
      <c r="M21" s="3" t="inlineStr">
        <is>
          <t>Not started</t>
        </is>
      </c>
      <c r="N21" s="2" t="inlineStr"/>
      <c r="O21" s="3" t="n">
        <v>8</v>
      </c>
      <c r="P21" s="3" t="n">
        <v>10</v>
      </c>
      <c r="Q21" s="2" t="inlineStr"/>
      <c r="R21" s="2" t="inlineStr"/>
    </row>
    <row r="22">
      <c r="A22" s="2" t="inlineStr">
        <is>
          <t>E31</t>
        </is>
      </c>
      <c r="B22" s="3" t="n">
        <v>6</v>
      </c>
      <c r="C22" s="2" t="inlineStr">
        <is>
          <t>Portfolio &amp; costs</t>
        </is>
      </c>
      <c r="D22" s="2" t="inlineStr">
        <is>
          <t>Cost-model sensitivity</t>
        </is>
      </c>
      <c r="E22" s="2" t="inlineStr">
        <is>
          <t>Conclusions robust to cost multipliers 0.5x-3x and alternative spread estimators.</t>
        </is>
      </c>
      <c r="F22" s="2" t="inlineStr">
        <is>
          <t>Best cells</t>
        </is>
      </c>
      <c r="G22" s="2" t="inlineStr">
        <is>
          <t>Main universe</t>
        </is>
      </c>
      <c r="H22" s="2" t="inlineStr">
        <is>
          <t>-</t>
        </is>
      </c>
      <c r="I22" s="2" t="inlineStr">
        <is>
          <t>Net Sharpe vs multiplier</t>
        </is>
      </c>
      <c r="J22" s="2" t="inlineStr">
        <is>
          <t>Break-even multiplier</t>
        </is>
      </c>
      <c r="K22" s="2" t="inlineStr">
        <is>
          <t>Ranking stable up to ~2x [hypothesis]</t>
        </is>
      </c>
      <c r="L22" s="3" t="inlineStr">
        <is>
          <t>Must</t>
        </is>
      </c>
      <c r="M22" s="3" t="inlineStr">
        <is>
          <t>Not started</t>
        </is>
      </c>
      <c r="N22" s="2" t="inlineStr"/>
      <c r="O22" s="3" t="n">
        <v>8</v>
      </c>
      <c r="P22" s="3" t="n">
        <v>10</v>
      </c>
      <c r="Q22" s="2" t="inlineStr"/>
      <c r="R22" s="2" t="inlineStr"/>
    </row>
    <row r="23">
      <c r="A23" s="2" t="inlineStr">
        <is>
          <t>E32</t>
        </is>
      </c>
      <c r="B23" s="3" t="n">
        <v>6</v>
      </c>
      <c r="C23" s="2" t="inlineStr">
        <is>
          <t>Portfolio &amp; costs</t>
        </is>
      </c>
      <c r="D23" s="2" t="inlineStr">
        <is>
          <t>Capacity</t>
        </is>
      </c>
      <c r="E23" s="2" t="inlineStr">
        <is>
          <t>Break-even AUM differs by cell and state.</t>
        </is>
      </c>
      <c r="F23" s="2" t="inlineStr">
        <is>
          <t>Best cells</t>
        </is>
      </c>
      <c r="G23" s="2" t="inlineStr">
        <is>
          <t>AUM grid</t>
        </is>
      </c>
      <c r="H23" s="2" t="inlineStr">
        <is>
          <t>-</t>
        </is>
      </c>
      <c r="I23" s="2" t="inlineStr">
        <is>
          <t>Break-even AUM; net alpha decay</t>
        </is>
      </c>
      <c r="J23" s="2" t="inlineStr">
        <is>
          <t>-</t>
        </is>
      </c>
      <c r="K23" s="2" t="inlineStr">
        <is>
          <t>Cost-aware conditional cells have higher capacity</t>
        </is>
      </c>
      <c r="L23" s="3" t="inlineStr">
        <is>
          <t>Should</t>
        </is>
      </c>
      <c r="M23" s="3" t="inlineStr">
        <is>
          <t>Not started</t>
        </is>
      </c>
      <c r="N23" s="2" t="inlineStr"/>
      <c r="O23" s="3" t="n">
        <v>8</v>
      </c>
      <c r="P23" s="3" t="n">
        <v>10</v>
      </c>
      <c r="Q23" s="2" t="inlineStr"/>
      <c r="R23" s="2" t="inlineStr"/>
    </row>
    <row r="24">
      <c r="A24" s="2" t="inlineStr">
        <is>
          <t>E33</t>
        </is>
      </c>
      <c r="B24" s="3" t="n">
        <v>6</v>
      </c>
      <c r="C24" s="2" t="inlineStr">
        <is>
          <t>Portfolio &amp; costs</t>
        </is>
      </c>
      <c r="D24" s="2" t="inlineStr">
        <is>
          <t>Constraint variants</t>
        </is>
      </c>
      <c r="E24" s="2" t="inlineStr">
        <is>
          <t>Long-only benchmark-relative and long-short results agree qualitatively.</t>
        </is>
      </c>
      <c r="F24" s="2" t="inlineStr">
        <is>
          <t>Best cells</t>
        </is>
      </c>
      <c r="G24" s="2" t="inlineStr">
        <is>
          <t>Main universe</t>
        </is>
      </c>
      <c r="H24" s="2" t="inlineStr">
        <is>
          <t>-</t>
        </is>
      </c>
      <c r="I24" s="2" t="inlineStr">
        <is>
          <t>Net IR; tracking error</t>
        </is>
      </c>
      <c r="J24" s="2" t="inlineStr">
        <is>
          <t>LW2008</t>
        </is>
      </c>
      <c r="K24" s="2" t="inlineStr">
        <is>
          <t>Qualitatively similar</t>
        </is>
      </c>
      <c r="L24" s="3" t="inlineStr">
        <is>
          <t>Should</t>
        </is>
      </c>
      <c r="M24" s="3" t="inlineStr">
        <is>
          <t>Not started</t>
        </is>
      </c>
      <c r="N24" s="2" t="inlineStr"/>
      <c r="O24" s="3" t="n">
        <v>8</v>
      </c>
      <c r="P24" s="3" t="n">
        <v>10</v>
      </c>
      <c r="Q24" s="2" t="inlineStr"/>
      <c r="R24" s="2" t="inlineStr"/>
    </row>
    <row r="25">
      <c r="A25" s="2" t="inlineStr">
        <is>
          <t>E34</t>
        </is>
      </c>
      <c r="B25" s="3" t="n">
        <v>6</v>
      </c>
      <c r="C25" s="2" t="inlineStr">
        <is>
          <t>Portfolio &amp; costs</t>
        </is>
      </c>
      <c r="D25" s="2" t="inlineStr">
        <is>
          <t>Heuristic cost mitigation vs optimisation</t>
        </is>
      </c>
      <c r="E25" s="2" t="inlineStr">
        <is>
          <t>Optimiser beats buy/hold banding net.</t>
        </is>
      </c>
      <c r="F25" s="2" t="inlineStr">
        <is>
          <t>Banding (NMV2016) vs TC-optimiser</t>
        </is>
      </c>
      <c r="G25" s="2" t="inlineStr">
        <is>
          <t>Main universe</t>
        </is>
      </c>
      <c r="H25" s="2" t="inlineStr">
        <is>
          <t>NMV2016 banding</t>
        </is>
      </c>
      <c r="I25" s="2" t="inlineStr">
        <is>
          <t>Net Sharpe</t>
        </is>
      </c>
      <c r="J25" s="2" t="inlineStr">
        <is>
          <t>LW2008</t>
        </is>
      </c>
      <c r="K25" s="2" t="inlineStr">
        <is>
          <t>Optimiser better at high AUM</t>
        </is>
      </c>
      <c r="L25" s="3" t="inlineStr">
        <is>
          <t>Should</t>
        </is>
      </c>
      <c r="M25" s="3" t="inlineStr">
        <is>
          <t>Not started</t>
        </is>
      </c>
      <c r="N25" s="2" t="inlineStr"/>
      <c r="O25" s="3" t="n">
        <v>8</v>
      </c>
      <c r="P25" s="3" t="n">
        <v>10</v>
      </c>
      <c r="Q25" s="2" t="inlineStr"/>
      <c r="R25" s="2" t="inlineStr"/>
    </row>
    <row r="26">
      <c r="A26" s="2" t="inlineStr">
        <is>
          <t>E40</t>
        </is>
      </c>
      <c r="B26" s="3" t="n">
        <v>8</v>
      </c>
      <c r="C26" s="2" t="inlineStr">
        <is>
          <t>Inference</t>
        </is>
      </c>
      <c r="D26" s="2" t="inlineStr">
        <is>
          <t>Data-snooping control over all cells</t>
        </is>
      </c>
      <c r="E26" s="2" t="inlineStr">
        <is>
          <t>Best cell beats benchmark after accounting for all trials.</t>
        </is>
      </c>
      <c r="F26" s="2" t="inlineStr">
        <is>
          <t>All configurations logged</t>
        </is>
      </c>
      <c r="G26" s="2" t="inlineStr">
        <is>
          <t>Test period</t>
        </is>
      </c>
      <c r="H26" s="2" t="inlineStr">
        <is>
          <t>JKMP Portfolio-ML; E14</t>
        </is>
      </c>
      <c r="I26" s="2" t="inlineStr">
        <is>
          <t>SPA p-values; StepM set; MCS</t>
        </is>
      </c>
      <c r="J26" s="2" t="inlineStr">
        <is>
          <t>Hansen SPA; Romano-Wolf; MCS</t>
        </is>
      </c>
      <c r="K26" s="2" t="inlineStr">
        <is>
          <t>Reported honestly whatever the outcome</t>
        </is>
      </c>
      <c r="L26" s="3" t="inlineStr">
        <is>
          <t>Must</t>
        </is>
      </c>
      <c r="M26" s="3" t="inlineStr">
        <is>
          <t>Not started</t>
        </is>
      </c>
      <c r="N26" s="2" t="inlineStr"/>
      <c r="O26" s="3" t="n">
        <v>11</v>
      </c>
      <c r="P26" s="3" t="n">
        <v>13</v>
      </c>
      <c r="Q26" s="2" t="inlineStr"/>
      <c r="R26" s="2" t="inlineStr"/>
    </row>
    <row r="27">
      <c r="A27" s="2" t="inlineStr">
        <is>
          <t>E41</t>
        </is>
      </c>
      <c r="B27" s="3" t="n">
        <v>8</v>
      </c>
      <c r="C27" s="2" t="inlineStr">
        <is>
          <t>Inference</t>
        </is>
      </c>
      <c r="D27" s="2" t="inlineStr">
        <is>
          <t>Deflated Sharpe and PBO</t>
        </is>
      </c>
      <c r="E27" s="2" t="inlineStr">
        <is>
          <t>Selected configuration's Sharpe survives deflation; PBO low.</t>
        </is>
      </c>
      <c r="F27" s="2" t="inlineStr">
        <is>
          <t>All configurations</t>
        </is>
      </c>
      <c r="G27" s="2" t="inlineStr">
        <is>
          <t>Validation/test</t>
        </is>
      </c>
      <c r="H27" s="2" t="inlineStr">
        <is>
          <t>-</t>
        </is>
      </c>
      <c r="I27" s="2" t="inlineStr">
        <is>
          <t>DSR; PBO (CSCV)</t>
        </is>
      </c>
      <c r="J27" s="2" t="inlineStr">
        <is>
          <t>BLDP2014; BBLZ2017</t>
        </is>
      </c>
      <c r="K27" s="2" t="inlineStr">
        <is>
          <t>DSR &gt; 0.95 target [hypothesis]</t>
        </is>
      </c>
      <c r="L27" s="3" t="inlineStr">
        <is>
          <t>Must</t>
        </is>
      </c>
      <c r="M27" s="3" t="inlineStr">
        <is>
          <t>Not started</t>
        </is>
      </c>
      <c r="N27" s="2" t="inlineStr"/>
      <c r="O27" s="3" t="n">
        <v>11</v>
      </c>
      <c r="P27" s="3" t="n">
        <v>13</v>
      </c>
      <c r="Q27" s="2" t="inlineStr"/>
      <c r="R27" s="2" t="inlineStr"/>
    </row>
    <row r="28">
      <c r="A28" s="2" t="inlineStr">
        <is>
          <t>E42</t>
        </is>
      </c>
      <c r="B28" s="3" t="n">
        <v>8</v>
      </c>
      <c r="C28" s="2" t="inlineStr">
        <is>
          <t>Inference</t>
        </is>
      </c>
      <c r="D28" s="2" t="inlineStr">
        <is>
          <t>Factor-model alphas net of costs</t>
        </is>
      </c>
      <c r="E28" s="2" t="inlineStr">
        <is>
          <t>Net alphas vs FF5+UMD, q5 and JKP themes.</t>
        </is>
      </c>
      <c r="F28" s="2" t="inlineStr">
        <is>
          <t>Best cells</t>
        </is>
      </c>
      <c r="G28" s="2" t="inlineStr">
        <is>
          <t>Test period</t>
        </is>
      </c>
      <c r="H28" s="2" t="inlineStr">
        <is>
          <t>Factor models</t>
        </is>
      </c>
      <c r="I28" s="2" t="inlineStr">
        <is>
          <t>Alpha, t-stat (NW)</t>
        </is>
      </c>
      <c r="J28" s="2" t="inlineStr">
        <is>
          <t>Newey-West; GRS-type</t>
        </is>
      </c>
      <c r="K28" s="2" t="inlineStr">
        <is>
          <t>Positive alpha vs FF5+UMD [hypothesis]</t>
        </is>
      </c>
      <c r="L28" s="3" t="inlineStr">
        <is>
          <t>Must</t>
        </is>
      </c>
      <c r="M28" s="3" t="inlineStr">
        <is>
          <t>Not started</t>
        </is>
      </c>
      <c r="N28" s="2" t="inlineStr"/>
      <c r="O28" s="3" t="n">
        <v>11</v>
      </c>
      <c r="P28" s="3" t="n">
        <v>13</v>
      </c>
      <c r="Q28" s="2" t="inlineStr"/>
      <c r="R28" s="2" t="inlineStr"/>
    </row>
    <row r="29">
      <c r="A29" s="2" t="inlineStr">
        <is>
          <t>E43</t>
        </is>
      </c>
      <c r="B29" s="3" t="n">
        <v>8</v>
      </c>
      <c r="C29" s="2" t="inlineStr">
        <is>
          <t>Inference</t>
        </is>
      </c>
      <c r="D29" s="2" t="inlineStr">
        <is>
          <t>Multiverse / non-standard errors</t>
        </is>
      </c>
      <c r="E29" s="2" t="inlineStr">
        <is>
          <t>Conclusions hold across reasonable design choices.</t>
        </is>
      </c>
      <c r="F29" s="2" t="inlineStr">
        <is>
          <t>Design grid (window, universe, target, horizon)</t>
        </is>
      </c>
      <c r="G29" s="2" t="inlineStr">
        <is>
          <t>Test period</t>
        </is>
      </c>
      <c r="H29" s="2" t="inlineStr">
        <is>
          <t>-</t>
        </is>
      </c>
      <c r="I29" s="2" t="inlineStr">
        <is>
          <t>Distribution of cell deltas</t>
        </is>
      </c>
      <c r="J29" s="2" t="inlineStr">
        <is>
          <t>Share of specifications with same sign</t>
        </is>
      </c>
      <c r="K29" s="2" t="inlineStr">
        <is>
          <t>Main-effect signs stable in &gt;80% of specs [hypothesis]</t>
        </is>
      </c>
      <c r="L29" s="3" t="inlineStr">
        <is>
          <t>Must</t>
        </is>
      </c>
      <c r="M29" s="3" t="inlineStr">
        <is>
          <t>Not started</t>
        </is>
      </c>
      <c r="N29" s="2" t="inlineStr"/>
      <c r="O29" s="3" t="n">
        <v>11</v>
      </c>
      <c r="P29" s="3" t="n">
        <v>13</v>
      </c>
      <c r="Q29" s="2" t="inlineStr"/>
      <c r="R29" s="2" t="inlineStr"/>
    </row>
    <row r="30">
      <c r="A30" s="2" t="inlineStr">
        <is>
          <t>E50</t>
        </is>
      </c>
      <c r="B30" s="3" t="n">
        <v>8</v>
      </c>
      <c r="C30" s="2" t="inlineStr">
        <is>
          <t>Robustness</t>
        </is>
      </c>
      <c r="D30" s="2" t="inlineStr">
        <is>
          <t>Subperiods</t>
        </is>
      </c>
      <c r="E30" s="2" t="inlineStr">
        <is>
          <t>Results hold pre/post-2001 decimalisation, post-2008 and post-2020.</t>
        </is>
      </c>
      <c r="F30" s="2" t="inlineStr">
        <is>
          <t>Best cells</t>
        </is>
      </c>
      <c r="G30" s="2" t="inlineStr">
        <is>
          <t>Subsamples</t>
        </is>
      </c>
      <c r="H30" s="2" t="inlineStr">
        <is>
          <t>-</t>
        </is>
      </c>
      <c r="I30" s="2" t="inlineStr">
        <is>
          <t>Net Sharpe by period</t>
        </is>
      </c>
      <c r="J30" s="2" t="inlineStr">
        <is>
          <t>Chow / Bai-Perron</t>
        </is>
      </c>
      <c r="K30" s="2" t="inlineStr">
        <is>
          <t>Weaker after 2003 [hypothesis]</t>
        </is>
      </c>
      <c r="L30" s="3" t="inlineStr">
        <is>
          <t>Must</t>
        </is>
      </c>
      <c r="M30" s="3" t="inlineStr">
        <is>
          <t>Not started</t>
        </is>
      </c>
      <c r="N30" s="2" t="inlineStr"/>
      <c r="O30" s="3" t="n">
        <v>11</v>
      </c>
      <c r="P30" s="3" t="n">
        <v>13</v>
      </c>
      <c r="Q30" s="2" t="inlineStr"/>
      <c r="R30" s="2" t="inlineStr"/>
    </row>
    <row r="31">
      <c r="A31" s="2" t="inlineStr">
        <is>
          <t>E51</t>
        </is>
      </c>
      <c r="B31" s="3" t="n">
        <v>8</v>
      </c>
      <c r="C31" s="2" t="inlineStr">
        <is>
          <t>Robustness</t>
        </is>
      </c>
      <c r="D31" s="2" t="inlineStr">
        <is>
          <t>Universe variants</t>
        </is>
      </c>
      <c r="E31" s="2" t="inlineStr">
        <is>
          <t>Results hold ex-microcaps, NYSE-top-500, all stocks.</t>
        </is>
      </c>
      <c r="F31" s="2" t="inlineStr">
        <is>
          <t>Best cells</t>
        </is>
      </c>
      <c r="G31" s="2" t="inlineStr">
        <is>
          <t>Universes</t>
        </is>
      </c>
      <c r="H31" s="2" t="inlineStr">
        <is>
          <t>-</t>
        </is>
      </c>
      <c r="I31" s="2" t="inlineStr">
        <is>
          <t>Net metrics</t>
        </is>
      </c>
      <c r="J31" s="2" t="inlineStr">
        <is>
          <t>LW2008</t>
        </is>
      </c>
      <c r="K31" s="2" t="inlineStr">
        <is>
          <t>Gains smaller in large caps</t>
        </is>
      </c>
      <c r="L31" s="3" t="inlineStr">
        <is>
          <t>Must</t>
        </is>
      </c>
      <c r="M31" s="3" t="inlineStr">
        <is>
          <t>Not started</t>
        </is>
      </c>
      <c r="N31" s="2" t="inlineStr"/>
      <c r="O31" s="3" t="n">
        <v>11</v>
      </c>
      <c r="P31" s="3" t="n">
        <v>13</v>
      </c>
      <c r="Q31" s="2" t="inlineStr"/>
      <c r="R31" s="2" t="inlineStr"/>
    </row>
    <row r="32">
      <c r="A32" s="2" t="inlineStr">
        <is>
          <t>E52</t>
        </is>
      </c>
      <c r="B32" s="3" t="n">
        <v>8</v>
      </c>
      <c r="C32" s="2" t="inlineStr">
        <is>
          <t>Robustness</t>
        </is>
      </c>
      <c r="D32" s="2" t="inlineStr">
        <is>
          <t>Horizon and rebalancing</t>
        </is>
      </c>
      <c r="E32" s="2" t="inlineStr">
        <is>
          <t>Monthly vs quarterly rebalancing and 1/3/6/12m targets.</t>
        </is>
      </c>
      <c r="F32" s="2" t="inlineStr">
        <is>
          <t>Best cells</t>
        </is>
      </c>
      <c r="G32" s="2" t="inlineStr">
        <is>
          <t>Main universe</t>
        </is>
      </c>
      <c r="H32" s="2" t="inlineStr">
        <is>
          <t>-</t>
        </is>
      </c>
      <c r="I32" s="2" t="inlineStr">
        <is>
          <t>Net Sharpe; turnover</t>
        </is>
      </c>
      <c r="J32" s="2" t="inlineStr">
        <is>
          <t>-</t>
        </is>
      </c>
      <c r="K32" s="2" t="inlineStr">
        <is>
          <t>Longer horizons help net</t>
        </is>
      </c>
      <c r="L32" s="3" t="inlineStr">
        <is>
          <t>Should</t>
        </is>
      </c>
      <c r="M32" s="3" t="inlineStr">
        <is>
          <t>Not started</t>
        </is>
      </c>
      <c r="N32" s="2" t="inlineStr"/>
      <c r="O32" s="3" t="n">
        <v>11</v>
      </c>
      <c r="P32" s="3" t="n">
        <v>13</v>
      </c>
      <c r="Q32" s="2" t="inlineStr"/>
      <c r="R32" s="2" t="inlineStr"/>
    </row>
    <row r="33">
      <c r="A33" s="2" t="inlineStr">
        <is>
          <t>E53</t>
        </is>
      </c>
      <c r="B33" s="3" t="n">
        <v>8</v>
      </c>
      <c r="C33" s="2" t="inlineStr">
        <is>
          <t>Robustness</t>
        </is>
      </c>
      <c r="D33" s="2" t="inlineStr">
        <is>
          <t>Placebo states</t>
        </is>
      </c>
      <c r="E33" s="2" t="inlineStr">
        <is>
          <t>Randomised or shuffled state variables remove conditioning gains.</t>
        </is>
      </c>
      <c r="F33" s="2" t="inlineStr">
        <is>
          <t>Conditional cells</t>
        </is>
      </c>
      <c r="G33" s="2" t="inlineStr">
        <is>
          <t>Main universe</t>
        </is>
      </c>
      <c r="H33" s="2" t="inlineStr">
        <is>
          <t>Real states</t>
        </is>
      </c>
      <c r="I33" s="2" t="inlineStr">
        <is>
          <t>Net delta</t>
        </is>
      </c>
      <c r="J33" s="2" t="inlineStr">
        <is>
          <t>Permutation test</t>
        </is>
      </c>
      <c r="K33" s="2" t="inlineStr">
        <is>
          <t>Placebo gains ~0</t>
        </is>
      </c>
      <c r="L33" s="3" t="inlineStr">
        <is>
          <t>Must</t>
        </is>
      </c>
      <c r="M33" s="3" t="inlineStr">
        <is>
          <t>Not started</t>
        </is>
      </c>
      <c r="N33" s="2" t="inlineStr"/>
      <c r="O33" s="3" t="n">
        <v>11</v>
      </c>
      <c r="P33" s="3" t="n">
        <v>13</v>
      </c>
      <c r="Q33" s="2" t="inlineStr"/>
      <c r="R33" s="2" t="inlineStr"/>
    </row>
    <row r="34">
      <c r="A34" s="2" t="inlineStr">
        <is>
          <t>E54</t>
        </is>
      </c>
      <c r="B34" s="3" t="n">
        <v>8</v>
      </c>
      <c r="C34" s="2" t="inlineStr">
        <is>
          <t>Robustness</t>
        </is>
      </c>
      <c r="D34" s="2" t="inlineStr">
        <is>
          <t>Pre-publication signal gating</t>
        </is>
      </c>
      <c r="E34" s="2" t="inlineStr">
        <is>
          <t>Using only signals published before t does not overturn conclusions.</t>
        </is>
      </c>
      <c r="F34" s="2" t="inlineStr">
        <is>
          <t>All cells</t>
        </is>
      </c>
      <c r="G34" s="2" t="inlineStr">
        <is>
          <t>Gated library</t>
        </is>
      </c>
      <c r="H34" s="2" t="inlineStr">
        <is>
          <t>Full library</t>
        </is>
      </c>
      <c r="I34" s="2" t="inlineStr">
        <is>
          <t>Net deltas</t>
        </is>
      </c>
      <c r="J34" s="2" t="inlineStr">
        <is>
          <t>-</t>
        </is>
      </c>
      <c r="K34" s="2" t="inlineStr">
        <is>
          <t>Smaller levels, same ranking [hypothesis]</t>
        </is>
      </c>
      <c r="L34" s="3" t="inlineStr">
        <is>
          <t>Must</t>
        </is>
      </c>
      <c r="M34" s="3" t="inlineStr">
        <is>
          <t>Not started</t>
        </is>
      </c>
      <c r="N34" s="2" t="inlineStr"/>
      <c r="O34" s="3" t="n">
        <v>11</v>
      </c>
      <c r="P34" s="3" t="n">
        <v>13</v>
      </c>
      <c r="Q34" s="2" t="inlineStr"/>
      <c r="R34" s="2" t="inlineStr"/>
    </row>
    <row r="35">
      <c r="A35" s="2" t="inlineStr">
        <is>
          <t>E55</t>
        </is>
      </c>
      <c r="B35" s="3" t="n">
        <v>8</v>
      </c>
      <c r="C35" s="2" t="inlineStr">
        <is>
          <t>Robustness</t>
        </is>
      </c>
      <c r="D35" s="2" t="inlineStr">
        <is>
          <t>International out-of-sample</t>
        </is>
      </c>
      <c r="E35" s="2" t="inlineStr">
        <is>
          <t>Ranking of cells holds in developed ex-US markets.</t>
        </is>
      </c>
      <c r="F35" s="2" t="inlineStr">
        <is>
          <t>Best cells</t>
        </is>
      </c>
      <c r="G35" s="2" t="inlineStr">
        <is>
          <t>JKP developed markets</t>
        </is>
      </c>
      <c r="H35" s="2" t="inlineStr">
        <is>
          <t>-</t>
        </is>
      </c>
      <c r="I35" s="2" t="inlineStr">
        <is>
          <t>Net Sharpe by region</t>
        </is>
      </c>
      <c r="J35" s="2" t="inlineStr">
        <is>
          <t>-</t>
        </is>
      </c>
      <c r="K35" s="2" t="inlineStr">
        <is>
          <t>Direction holds with weaker magnitude [hypothesis]</t>
        </is>
      </c>
      <c r="L35" s="3" t="inlineStr">
        <is>
          <t>Could</t>
        </is>
      </c>
      <c r="M35" s="3" t="inlineStr">
        <is>
          <t>Not started</t>
        </is>
      </c>
      <c r="N35" s="2" t="inlineStr"/>
      <c r="O35" s="3" t="n">
        <v>11</v>
      </c>
      <c r="P35" s="3" t="n">
        <v>13</v>
      </c>
      <c r="Q35" s="2" t="inlineStr"/>
      <c r="R35" s="2" t="inlineStr"/>
    </row>
    <row r="36">
      <c r="A36" s="2" t="inlineStr">
        <is>
          <t>E56</t>
        </is>
      </c>
      <c r="B36" s="3" t="n">
        <v>8</v>
      </c>
      <c r="C36" s="2" t="inlineStr">
        <is>
          <t>Robustness</t>
        </is>
      </c>
      <c r="D36" s="2" t="inlineStr">
        <is>
          <t>Seeds and hyperparameter perturbation</t>
        </is>
      </c>
      <c r="E36" s="2" t="inlineStr">
        <is>
          <t>NN results stable across 10+ seeds and +/-1 grid step.</t>
        </is>
      </c>
      <c r="F36" s="2" t="inlineStr">
        <is>
          <t>NN cells</t>
        </is>
      </c>
      <c r="G36" s="2" t="inlineStr">
        <is>
          <t>Main universe</t>
        </is>
      </c>
      <c r="H36" s="2" t="inlineStr">
        <is>
          <t>-</t>
        </is>
      </c>
      <c r="I36" s="2" t="inlineStr">
        <is>
          <t>Dispersion of net Sharpe</t>
        </is>
      </c>
      <c r="J36" s="2" t="inlineStr">
        <is>
          <t>-</t>
        </is>
      </c>
      <c r="K36" s="2" t="inlineStr">
        <is>
          <t>Low dispersion relative to cell gaps</t>
        </is>
      </c>
      <c r="L36" s="3" t="inlineStr">
        <is>
          <t>Must</t>
        </is>
      </c>
      <c r="M36" s="3" t="inlineStr">
        <is>
          <t>Not started</t>
        </is>
      </c>
      <c r="N36" s="2" t="inlineStr"/>
      <c r="O36" s="3" t="n">
        <v>11</v>
      </c>
      <c r="P36" s="3" t="n">
        <v>13</v>
      </c>
      <c r="Q36" s="2" t="inlineStr"/>
      <c r="R36" s="2" t="inlineStr"/>
    </row>
    <row r="37">
      <c r="A37" s="2" t="inlineStr">
        <is>
          <t>E60</t>
        </is>
      </c>
      <c r="B37" s="3" t="n">
        <v>7</v>
      </c>
      <c r="C37" s="2" t="inlineStr">
        <is>
          <t>Interpretation</t>
        </is>
      </c>
      <c r="D37" s="2" t="inlineStr">
        <is>
          <t>Economic feature importance by theme</t>
        </is>
      </c>
      <c r="E37" s="2" t="inlineStr">
        <is>
          <t>Net value concentrated in slow themes (value, profitability, investment) and liquidity-aware use of fast themes.</t>
        </is>
      </c>
      <c r="F37" s="2" t="inlineStr">
        <is>
          <t>Leave-theme-out net utility; SHAP</t>
        </is>
      </c>
      <c r="G37" s="2" t="inlineStr">
        <is>
          <t>Main universe</t>
        </is>
      </c>
      <c r="H37" s="2" t="inlineStr">
        <is>
          <t>-</t>
        </is>
      </c>
      <c r="I37" s="2" t="inlineStr">
        <is>
          <t>Delta net utility by theme</t>
        </is>
      </c>
      <c r="J37" s="2" t="inlineStr">
        <is>
          <t>Bootstrap CIs</t>
        </is>
      </c>
      <c r="K37" s="2" t="inlineStr">
        <is>
          <t>Value/quality high; short-term reversal low net</t>
        </is>
      </c>
      <c r="L37" s="3" t="inlineStr">
        <is>
          <t>Must</t>
        </is>
      </c>
      <c r="M37" s="3" t="inlineStr">
        <is>
          <t>Not started</t>
        </is>
      </c>
      <c r="N37" s="2" t="inlineStr"/>
      <c r="O37" s="3" t="n">
        <v>9</v>
      </c>
      <c r="P37" s="3" t="n">
        <v>11</v>
      </c>
      <c r="Q37" s="2" t="inlineStr"/>
      <c r="R37" s="2" t="inlineStr"/>
    </row>
    <row r="38">
      <c r="A38" s="2" t="inlineStr">
        <is>
          <t>E61</t>
        </is>
      </c>
      <c r="B38" s="3" t="n">
        <v>7</v>
      </c>
      <c r="C38" s="2" t="inlineStr">
        <is>
          <t>Interpretation</t>
        </is>
      </c>
      <c r="D38" s="2" t="inlineStr">
        <is>
          <t>State-dependent signal weights</t>
        </is>
      </c>
      <c r="E38" s="2" t="inlineStr">
        <is>
          <t>Momentum weight falls in high-volatility post-crash states; short-leg anomaly weight rises with sentiment.</t>
        </is>
      </c>
      <c r="F38" s="2" t="inlineStr">
        <is>
          <t>Implied weights from conditional cells</t>
        </is>
      </c>
      <c r="G38" s="2" t="inlineStr">
        <is>
          <t>Main universe</t>
        </is>
      </c>
      <c r="H38" s="2" t="inlineStr">
        <is>
          <t>DM2016; SYY2012 predictions</t>
        </is>
      </c>
      <c r="I38" s="2" t="inlineStr">
        <is>
          <t>Implied weight paths</t>
        </is>
      </c>
      <c r="J38" s="2" t="inlineStr">
        <is>
          <t>Regression of weights on states</t>
        </is>
      </c>
      <c r="K38" s="2" t="inlineStr">
        <is>
          <t>Consistent with DM2016/SYY2012 [hypothesis]</t>
        </is>
      </c>
      <c r="L38" s="3" t="inlineStr">
        <is>
          <t>Must</t>
        </is>
      </c>
      <c r="M38" s="3" t="inlineStr">
        <is>
          <t>Not started</t>
        </is>
      </c>
      <c r="N38" s="2" t="inlineStr"/>
      <c r="O38" s="3" t="n">
        <v>9</v>
      </c>
      <c r="P38" s="3" t="n">
        <v>11</v>
      </c>
      <c r="Q38" s="2" t="inlineStr"/>
      <c r="R38" s="2" t="inlineStr"/>
    </row>
    <row r="39">
      <c r="A39" s="2" t="inlineStr">
        <is>
          <t>E62</t>
        </is>
      </c>
      <c r="B39" s="3" t="n">
        <v>7</v>
      </c>
      <c r="C39" s="2" t="inlineStr">
        <is>
          <t>Interpretation</t>
        </is>
      </c>
      <c r="D39" s="2" t="inlineStr">
        <is>
          <t>Limits-to-arbitrage mechanism</t>
        </is>
      </c>
      <c r="E39" s="2" t="inlineStr">
        <is>
          <t>Gross ML gains concentrate in high-IVOL/illiquid stocks; cost-aware learning shifts exposure away.</t>
        </is>
      </c>
      <c r="F39" s="2" t="inlineStr">
        <is>
          <t>Portfolio characteristic tilts</t>
        </is>
      </c>
      <c r="G39" s="2" t="inlineStr">
        <is>
          <t>Main universe</t>
        </is>
      </c>
      <c r="H39" s="2" t="inlineStr">
        <is>
          <t>ACM2023 findings</t>
        </is>
      </c>
      <c r="I39" s="2" t="inlineStr">
        <is>
          <t>Exposure to IVOL, illiquidity, size</t>
        </is>
      </c>
      <c r="J39" s="2" t="inlineStr">
        <is>
          <t>Difference tests</t>
        </is>
      </c>
      <c r="K39" s="2" t="inlineStr">
        <is>
          <t>Consistent with ACM2023 [hypothesis]</t>
        </is>
      </c>
      <c r="L39" s="3" t="inlineStr">
        <is>
          <t>Must</t>
        </is>
      </c>
      <c r="M39" s="3" t="inlineStr">
        <is>
          <t>Not started</t>
        </is>
      </c>
      <c r="N39" s="2" t="inlineStr"/>
      <c r="O39" s="3" t="n">
        <v>9</v>
      </c>
      <c r="P39" s="3" t="n">
        <v>11</v>
      </c>
      <c r="Q39" s="2" t="inlineStr"/>
      <c r="R39" s="2" t="inlineStr"/>
    </row>
    <row r="40">
      <c r="A40" s="2" t="inlineStr">
        <is>
          <t>E63</t>
        </is>
      </c>
      <c r="B40" s="3" t="n">
        <v>7</v>
      </c>
      <c r="C40" s="2" t="inlineStr">
        <is>
          <t>Interpretation</t>
        </is>
      </c>
      <c r="D40" s="2" t="inlineStr">
        <is>
          <t>Trading-speed test of CDS2020</t>
        </is>
      </c>
      <c r="E40" s="2" t="inlineStr">
        <is>
          <t>Optimal trading speed rises in liquid, persistent states.</t>
        </is>
      </c>
      <c r="F40" s="2" t="inlineStr">
        <is>
          <t>Conditional economic-loss cells</t>
        </is>
      </c>
      <c r="G40" s="2" t="inlineStr">
        <is>
          <t>Main universe</t>
        </is>
      </c>
      <c r="H40" s="2" t="inlineStr">
        <is>
          <t>CDS2020 theory</t>
        </is>
      </c>
      <c r="I40" s="2" t="inlineStr">
        <is>
          <t>Turnover by liquidity state</t>
        </is>
      </c>
      <c r="J40" s="2" t="inlineStr">
        <is>
          <t>Regression</t>
        </is>
      </c>
      <c r="K40" s="2" t="inlineStr">
        <is>
          <t>Positive relation [hypothesis]</t>
        </is>
      </c>
      <c r="L40" s="3" t="inlineStr">
        <is>
          <t>Should</t>
        </is>
      </c>
      <c r="M40" s="3" t="inlineStr">
        <is>
          <t>Not started</t>
        </is>
      </c>
      <c r="N40" s="2" t="inlineStr"/>
      <c r="O40" s="3" t="n">
        <v>9</v>
      </c>
      <c r="P40" s="3" t="n">
        <v>11</v>
      </c>
      <c r="Q40" s="2" t="inlineStr"/>
      <c r="R40" s="2" t="inlineStr"/>
    </row>
    <row r="41">
      <c r="A41" s="2" t="inlineStr">
        <is>
          <t>E64</t>
        </is>
      </c>
      <c r="B41" s="3" t="n">
        <v>7</v>
      </c>
      <c r="C41" s="2" t="inlineStr">
        <is>
          <t>Interpretation</t>
        </is>
      </c>
      <c r="D41" s="2" t="inlineStr">
        <is>
          <t>Alpha-risk alignment diagnostics</t>
        </is>
      </c>
      <c r="E41" s="2" t="inlineStr">
        <is>
          <t>Nonlinear alphas show larger ex-post risk underestimation.</t>
        </is>
      </c>
      <c r="F41" s="2" t="inlineStr">
        <is>
          <t>All cells</t>
        </is>
      </c>
      <c r="G41" s="2" t="inlineStr">
        <is>
          <t>Main universe</t>
        </is>
      </c>
      <c r="H41" s="2" t="inlineStr">
        <is>
          <t>CSS2012</t>
        </is>
      </c>
      <c r="I41" s="2" t="inlineStr">
        <is>
          <t>Bias statistic</t>
        </is>
      </c>
      <c r="J41" s="2" t="inlineStr">
        <is>
          <t>-</t>
        </is>
      </c>
      <c r="K41" s="2" t="inlineStr">
        <is>
          <t>Larger bias for nonlinear cells</t>
        </is>
      </c>
      <c r="L41" s="3" t="inlineStr">
        <is>
          <t>Could</t>
        </is>
      </c>
      <c r="M41" s="3" t="inlineStr">
        <is>
          <t>Not started</t>
        </is>
      </c>
      <c r="N41" s="2" t="inlineStr"/>
      <c r="O41" s="3" t="n">
        <v>9</v>
      </c>
      <c r="P41" s="3" t="n">
        <v>11</v>
      </c>
      <c r="Q41" s="2" t="inlineStr"/>
      <c r="R41" s="2" t="inlineStr"/>
    </row>
  </sheetData>
  <autoFilter ref="A1:R41"/>
  <conditionalFormatting sqref="M2:M4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L2:L41">
    <cfRule type="cellIs" priority="5" operator="equal" dxfId="4">
      <formula>"Must"</formula>
    </cfRule>
  </conditionalFormatting>
  <dataValidations count="2">
    <dataValidation sqref="M2:M41" showDropDown="0" showInputMessage="0" showErrorMessage="0" allowBlank="0" type="list">
      <formula1>"Not started,In progress,Blocked,Done,Dropped"</formula1>
    </dataValidation>
    <dataValidation sqref="L2:L41" showDropDown="0" showInputMessage="0" showErrorMessage="0" allowBlank="0" type="list">
      <formula1>"Must,Should,Could"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4" t="inlineStr">
        <is>
          <t>Experiment progress (live formulas)</t>
        </is>
      </c>
    </row>
    <row r="2">
      <c r="A2" s="5" t="inlineStr">
        <is>
          <t>Change Status in the Experiments sheet; this sheet updates automatically</t>
        </is>
      </c>
    </row>
    <row r="4">
      <c r="A4" s="6" t="inlineStr">
        <is>
          <t>Block</t>
        </is>
      </c>
      <c r="B4" s="6" t="inlineStr">
        <is>
          <t>Not started</t>
        </is>
      </c>
      <c r="C4" s="6" t="inlineStr">
        <is>
          <t>In progress</t>
        </is>
      </c>
      <c r="D4" s="6" t="inlineStr">
        <is>
          <t>Blocked</t>
        </is>
      </c>
      <c r="E4" s="6" t="inlineStr">
        <is>
          <t>Done</t>
        </is>
      </c>
      <c r="F4" s="6" t="inlineStr">
        <is>
          <t>Dropped</t>
        </is>
      </c>
      <c r="G4" s="6" t="inlineStr">
        <is>
          <t>Total</t>
        </is>
      </c>
      <c r="H4" s="6" t="inlineStr">
        <is>
          <t>% Done</t>
        </is>
      </c>
    </row>
    <row r="5">
      <c r="A5" t="inlineStr">
        <is>
          <t>Data integrity</t>
        </is>
      </c>
      <c r="B5">
        <f>COUNTIFS(Experiments!$C:$C,$A5,Experiments!$M:$M,B$4)</f>
        <v/>
      </c>
      <c r="C5">
        <f>COUNTIFS(Experiments!$C:$C,$A5,Experiments!$M:$M,C$4)</f>
        <v/>
      </c>
      <c r="D5">
        <f>COUNTIFS(Experiments!$C:$C,$A5,Experiments!$M:$M,D$4)</f>
        <v/>
      </c>
      <c r="E5">
        <f>COUNTIFS(Experiments!$C:$C,$A5,Experiments!$M:$M,E$4)</f>
        <v/>
      </c>
      <c r="F5">
        <f>COUNTIFS(Experiments!$C:$C,$A5,Experiments!$M:$M,F$4)</f>
        <v/>
      </c>
      <c r="G5">
        <f>COUNTIF(Experiments!$C:$C,$A5)</f>
        <v/>
      </c>
      <c r="H5" s="7">
        <f>IFERROR(E5/G5,0)</f>
        <v/>
      </c>
    </row>
    <row r="6">
      <c r="A6" t="inlineStr">
        <is>
          <t>Signal library</t>
        </is>
      </c>
      <c r="B6">
        <f>COUNTIFS(Experiments!$C:$C,$A6,Experiments!$M:$M,B$4)</f>
        <v/>
      </c>
      <c r="C6">
        <f>COUNTIFS(Experiments!$C:$C,$A6,Experiments!$M:$M,C$4)</f>
        <v/>
      </c>
      <c r="D6">
        <f>COUNTIFS(Experiments!$C:$C,$A6,Experiments!$M:$M,D$4)</f>
        <v/>
      </c>
      <c r="E6">
        <f>COUNTIFS(Experiments!$C:$C,$A6,Experiments!$M:$M,E$4)</f>
        <v/>
      </c>
      <c r="F6">
        <f>COUNTIFS(Experiments!$C:$C,$A6,Experiments!$M:$M,F$4)</f>
        <v/>
      </c>
      <c r="G6">
        <f>COUNTIF(Experiments!$C:$C,$A6)</f>
        <v/>
      </c>
      <c r="H6" s="7">
        <f>IFERROR(E6/G6,0)</f>
        <v/>
      </c>
    </row>
    <row r="7">
      <c r="A7" t="inlineStr">
        <is>
          <t>Baselines</t>
        </is>
      </c>
      <c r="B7">
        <f>COUNTIFS(Experiments!$C:$C,$A7,Experiments!$M:$M,B$4)</f>
        <v/>
      </c>
      <c r="C7">
        <f>COUNTIFS(Experiments!$C:$C,$A7,Experiments!$M:$M,C$4)</f>
        <v/>
      </c>
      <c r="D7">
        <f>COUNTIFS(Experiments!$C:$C,$A7,Experiments!$M:$M,D$4)</f>
        <v/>
      </c>
      <c r="E7">
        <f>COUNTIFS(Experiments!$C:$C,$A7,Experiments!$M:$M,E$4)</f>
        <v/>
      </c>
      <c r="F7">
        <f>COUNTIFS(Experiments!$C:$C,$A7,Experiments!$M:$M,F$4)</f>
        <v/>
      </c>
      <c r="G7">
        <f>COUNTIF(Experiments!$C:$C,$A7)</f>
        <v/>
      </c>
      <c r="H7" s="7">
        <f>IFERROR(E7/G7,0)</f>
        <v/>
      </c>
    </row>
    <row r="8">
      <c r="A8" t="inlineStr">
        <is>
          <t>Factorial core</t>
        </is>
      </c>
      <c r="B8">
        <f>COUNTIFS(Experiments!$C:$C,$A8,Experiments!$M:$M,B$4)</f>
        <v/>
      </c>
      <c r="C8">
        <f>COUNTIFS(Experiments!$C:$C,$A8,Experiments!$M:$M,C$4)</f>
        <v/>
      </c>
      <c r="D8">
        <f>COUNTIFS(Experiments!$C:$C,$A8,Experiments!$M:$M,D$4)</f>
        <v/>
      </c>
      <c r="E8">
        <f>COUNTIFS(Experiments!$C:$C,$A8,Experiments!$M:$M,E$4)</f>
        <v/>
      </c>
      <c r="F8">
        <f>COUNTIFS(Experiments!$C:$C,$A8,Experiments!$M:$M,F$4)</f>
        <v/>
      </c>
      <c r="G8">
        <f>COUNTIF(Experiments!$C:$C,$A8)</f>
        <v/>
      </c>
      <c r="H8" s="7">
        <f>IFERROR(E8/G8,0)</f>
        <v/>
      </c>
    </row>
    <row r="9">
      <c r="A9" t="inlineStr">
        <is>
          <t>Portfolio &amp; costs</t>
        </is>
      </c>
      <c r="B9">
        <f>COUNTIFS(Experiments!$C:$C,$A9,Experiments!$M:$M,B$4)</f>
        <v/>
      </c>
      <c r="C9">
        <f>COUNTIFS(Experiments!$C:$C,$A9,Experiments!$M:$M,C$4)</f>
        <v/>
      </c>
      <c r="D9">
        <f>COUNTIFS(Experiments!$C:$C,$A9,Experiments!$M:$M,D$4)</f>
        <v/>
      </c>
      <c r="E9">
        <f>COUNTIFS(Experiments!$C:$C,$A9,Experiments!$M:$M,E$4)</f>
        <v/>
      </c>
      <c r="F9">
        <f>COUNTIFS(Experiments!$C:$C,$A9,Experiments!$M:$M,F$4)</f>
        <v/>
      </c>
      <c r="G9">
        <f>COUNTIF(Experiments!$C:$C,$A9)</f>
        <v/>
      </c>
      <c r="H9" s="7">
        <f>IFERROR(E9/G9,0)</f>
        <v/>
      </c>
    </row>
    <row r="10">
      <c r="A10" t="inlineStr">
        <is>
          <t>Inference</t>
        </is>
      </c>
      <c r="B10">
        <f>COUNTIFS(Experiments!$C:$C,$A10,Experiments!$M:$M,B$4)</f>
        <v/>
      </c>
      <c r="C10">
        <f>COUNTIFS(Experiments!$C:$C,$A10,Experiments!$M:$M,C$4)</f>
        <v/>
      </c>
      <c r="D10">
        <f>COUNTIFS(Experiments!$C:$C,$A10,Experiments!$M:$M,D$4)</f>
        <v/>
      </c>
      <c r="E10">
        <f>COUNTIFS(Experiments!$C:$C,$A10,Experiments!$M:$M,E$4)</f>
        <v/>
      </c>
      <c r="F10">
        <f>COUNTIFS(Experiments!$C:$C,$A10,Experiments!$M:$M,F$4)</f>
        <v/>
      </c>
      <c r="G10">
        <f>COUNTIF(Experiments!$C:$C,$A10)</f>
        <v/>
      </c>
      <c r="H10" s="7">
        <f>IFERROR(E10/G10,0)</f>
        <v/>
      </c>
    </row>
    <row r="11">
      <c r="A11" t="inlineStr">
        <is>
          <t>Robustness</t>
        </is>
      </c>
      <c r="B11">
        <f>COUNTIFS(Experiments!$C:$C,$A11,Experiments!$M:$M,B$4)</f>
        <v/>
      </c>
      <c r="C11">
        <f>COUNTIFS(Experiments!$C:$C,$A11,Experiments!$M:$M,C$4)</f>
        <v/>
      </c>
      <c r="D11">
        <f>COUNTIFS(Experiments!$C:$C,$A11,Experiments!$M:$M,D$4)</f>
        <v/>
      </c>
      <c r="E11">
        <f>COUNTIFS(Experiments!$C:$C,$A11,Experiments!$M:$M,E$4)</f>
        <v/>
      </c>
      <c r="F11">
        <f>COUNTIFS(Experiments!$C:$C,$A11,Experiments!$M:$M,F$4)</f>
        <v/>
      </c>
      <c r="G11">
        <f>COUNTIF(Experiments!$C:$C,$A11)</f>
        <v/>
      </c>
      <c r="H11" s="7">
        <f>IFERROR(E11/G11,0)</f>
        <v/>
      </c>
    </row>
    <row r="12">
      <c r="A12" t="inlineStr">
        <is>
          <t>Interpretation</t>
        </is>
      </c>
      <c r="B12">
        <f>COUNTIFS(Experiments!$C:$C,$A12,Experiments!$M:$M,B$4)</f>
        <v/>
      </c>
      <c r="C12">
        <f>COUNTIFS(Experiments!$C:$C,$A12,Experiments!$M:$M,C$4)</f>
        <v/>
      </c>
      <c r="D12">
        <f>COUNTIFS(Experiments!$C:$C,$A12,Experiments!$M:$M,D$4)</f>
        <v/>
      </c>
      <c r="E12">
        <f>COUNTIFS(Experiments!$C:$C,$A12,Experiments!$M:$M,E$4)</f>
        <v/>
      </c>
      <c r="F12">
        <f>COUNTIFS(Experiments!$C:$C,$A12,Experiments!$M:$M,F$4)</f>
        <v/>
      </c>
      <c r="G12">
        <f>COUNTIF(Experiments!$C:$C,$A12)</f>
        <v/>
      </c>
      <c r="H12" s="7">
        <f>IFERROR(E12/G12,0)</f>
        <v/>
      </c>
    </row>
    <row r="13">
      <c r="A13" s="8" t="inlineStr">
        <is>
          <t>All experiments</t>
        </is>
      </c>
      <c r="B13" s="8">
        <f>SUM(B5:B12)</f>
        <v/>
      </c>
      <c r="C13" s="8">
        <f>SUM(C5:C12)</f>
        <v/>
      </c>
      <c r="D13" s="8">
        <f>SUM(D5:D12)</f>
        <v/>
      </c>
      <c r="E13" s="8">
        <f>SUM(E5:E12)</f>
        <v/>
      </c>
      <c r="F13" s="8">
        <f>SUM(F5:F12)</f>
        <v/>
      </c>
      <c r="G13" s="8">
        <f>SUM(G5:G12)</f>
        <v/>
      </c>
      <c r="H13" s="7">
        <f>IFERROR(E13/G13,0)</f>
        <v/>
      </c>
    </row>
    <row r="16">
      <c r="A16" s="6" t="inlineStr">
        <is>
          <t>Priority</t>
        </is>
      </c>
      <c r="B16" s="6" t="inlineStr">
        <is>
          <t>Count</t>
        </is>
      </c>
      <c r="C16" s="6" t="inlineStr">
        <is>
          <t>Done</t>
        </is>
      </c>
    </row>
    <row r="17">
      <c r="A17" t="inlineStr">
        <is>
          <t>Must</t>
        </is>
      </c>
      <c r="B17">
        <f>COUNTIF(Experiments!$L:$L,$A17)</f>
        <v/>
      </c>
      <c r="C17">
        <f>COUNTIFS(Experiments!$L:$L,$A17,Experiments!$M:$M,"Done")</f>
        <v/>
      </c>
    </row>
    <row r="18">
      <c r="A18" t="inlineStr">
        <is>
          <t>Should</t>
        </is>
      </c>
      <c r="B18">
        <f>COUNTIF(Experiments!$L:$L,$A18)</f>
        <v/>
      </c>
      <c r="C18">
        <f>COUNTIFS(Experiments!$L:$L,$A18,Experiments!$M:$M,"Done")</f>
        <v/>
      </c>
    </row>
    <row r="19">
      <c r="A19" t="inlineStr">
        <is>
          <t>Could</t>
        </is>
      </c>
      <c r="B19">
        <f>COUNTIF(Experiments!$L:$L,$A19)</f>
        <v/>
      </c>
      <c r="C19">
        <f>COUNTIFS(Experiments!$L:$L,$A19,Experiments!$M:$M,"Done")</f>
        <v/>
      </c>
    </row>
  </sheetData>
  <conditionalFormatting sqref="H5:H13">
    <cfRule type="dataBar" priority="1">
      <dataBar>
        <cfvo type="num" val="0"/>
        <cfvo type="num" val="1"/>
        <color rgb="001BAF7A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16-cell factorial design with orthogonal contrast coding (formulas)</t>
        </is>
      </c>
    </row>
    <row r="2">
      <c r="A2" s="5" t="inlineStr">
        <is>
          <t>Contrast columns (+1/-1) and interactions are formulas; use them to regress monthly net returns of cells on effects (E29)</t>
        </is>
      </c>
    </row>
    <row r="3" ht="34" customHeight="1">
      <c r="A3" s="1" t="inlineStr">
        <is>
          <t>Cell</t>
        </is>
      </c>
      <c r="B3" s="1" t="inlineStr">
        <is>
          <t>Form</t>
        </is>
      </c>
      <c r="C3" s="1" t="inlineStr">
        <is>
          <t>Conditioning</t>
        </is>
      </c>
      <c r="D3" s="1" t="inlineStr">
        <is>
          <t>Objective</t>
        </is>
      </c>
      <c r="E3" s="1" t="inlineStr">
        <is>
          <t>Uncertainty</t>
        </is>
      </c>
      <c r="F3" s="1" t="inlineStr">
        <is>
          <t>Experiment</t>
        </is>
      </c>
      <c r="G3" s="1" t="inlineStr">
        <is>
          <t>x_Nonlinear</t>
        </is>
      </c>
      <c r="H3" s="1" t="inlineStr">
        <is>
          <t>x_State</t>
        </is>
      </c>
      <c r="I3" s="1" t="inlineStr">
        <is>
          <t>x_Economic</t>
        </is>
      </c>
      <c r="J3" s="1" t="inlineStr">
        <is>
          <t>x_Uncertainty</t>
        </is>
      </c>
      <c r="K3" s="1" t="inlineStr">
        <is>
          <t>State x Economic</t>
        </is>
      </c>
      <c r="L3" s="1" t="inlineStr">
        <is>
          <t>Nonlinear x Economic</t>
        </is>
      </c>
      <c r="M3" s="1" t="inlineStr">
        <is>
          <t>Nonlinear x State</t>
        </is>
      </c>
      <c r="N3" s="1" t="inlineStr">
        <is>
          <t>Uncertainty x Economic</t>
        </is>
      </c>
    </row>
    <row r="4">
      <c r="A4" s="2" t="inlineStr">
        <is>
          <t>L-S-P-0</t>
        </is>
      </c>
      <c r="B4" s="2" t="inlineStr">
        <is>
          <t>Linear</t>
        </is>
      </c>
      <c r="C4" s="2" t="inlineStr">
        <is>
          <t>Static</t>
        </is>
      </c>
      <c r="D4" s="2" t="inlineStr">
        <is>
          <t>Prediction</t>
        </is>
      </c>
      <c r="E4" s="2" t="inlineStr">
        <is>
          <t>None</t>
        </is>
      </c>
      <c r="F4" s="3" t="inlineStr">
        <is>
          <t>E20</t>
        </is>
      </c>
      <c r="G4" s="3">
        <f>IF(B4="Nonlinear",1,-1)</f>
        <v/>
      </c>
      <c r="H4" s="3">
        <f>IF(C4="State",1,-1)</f>
        <v/>
      </c>
      <c r="I4" s="3">
        <f>IF(D4="Economic",1,-1)</f>
        <v/>
      </c>
      <c r="J4" s="3">
        <f>IF(E4="None",-1,1)</f>
        <v/>
      </c>
      <c r="K4" s="3">
        <f>H4*I4</f>
        <v/>
      </c>
      <c r="L4" s="3">
        <f>G4*I4</f>
        <v/>
      </c>
      <c r="M4" s="3">
        <f>G4*H4</f>
        <v/>
      </c>
      <c r="N4" s="3">
        <f>J4*I4</f>
        <v/>
      </c>
    </row>
    <row r="5">
      <c r="A5" s="2" t="inlineStr">
        <is>
          <t>L-S-P-U</t>
        </is>
      </c>
      <c r="B5" s="2" t="inlineStr">
        <is>
          <t>Linear</t>
        </is>
      </c>
      <c r="C5" s="2" t="inlineStr">
        <is>
          <t>Static</t>
        </is>
      </c>
      <c r="D5" s="2" t="inlineStr">
        <is>
          <t>Prediction</t>
        </is>
      </c>
      <c r="E5" s="2" t="inlineStr">
        <is>
          <t>Ensemble shrinkage</t>
        </is>
      </c>
      <c r="F5" s="3" t="inlineStr">
        <is>
          <t>E20 + E28</t>
        </is>
      </c>
      <c r="G5" s="3">
        <f>IF(B5="Nonlinear",1,-1)</f>
        <v/>
      </c>
      <c r="H5" s="3">
        <f>IF(C5="State",1,-1)</f>
        <v/>
      </c>
      <c r="I5" s="3">
        <f>IF(D5="Economic",1,-1)</f>
        <v/>
      </c>
      <c r="J5" s="3">
        <f>IF(E5="None",-1,1)</f>
        <v/>
      </c>
      <c r="K5" s="3">
        <f>H5*I5</f>
        <v/>
      </c>
      <c r="L5" s="3">
        <f>G5*I5</f>
        <v/>
      </c>
      <c r="M5" s="3">
        <f>G5*H5</f>
        <v/>
      </c>
      <c r="N5" s="3">
        <f>J5*I5</f>
        <v/>
      </c>
    </row>
    <row r="6">
      <c r="A6" s="2" t="inlineStr">
        <is>
          <t>L-S-E-0</t>
        </is>
      </c>
      <c r="B6" s="2" t="inlineStr">
        <is>
          <t>Linear</t>
        </is>
      </c>
      <c r="C6" s="2" t="inlineStr">
        <is>
          <t>Static</t>
        </is>
      </c>
      <c r="D6" s="2" t="inlineStr">
        <is>
          <t>Economic</t>
        </is>
      </c>
      <c r="E6" s="2" t="inlineStr">
        <is>
          <t>None</t>
        </is>
      </c>
      <c r="F6" s="3" t="inlineStr">
        <is>
          <t>E24</t>
        </is>
      </c>
      <c r="G6" s="3">
        <f>IF(B6="Nonlinear",1,-1)</f>
        <v/>
      </c>
      <c r="H6" s="3">
        <f>IF(C6="State",1,-1)</f>
        <v/>
      </c>
      <c r="I6" s="3">
        <f>IF(D6="Economic",1,-1)</f>
        <v/>
      </c>
      <c r="J6" s="3">
        <f>IF(E6="None",-1,1)</f>
        <v/>
      </c>
      <c r="K6" s="3">
        <f>H6*I6</f>
        <v/>
      </c>
      <c r="L6" s="3">
        <f>G6*I6</f>
        <v/>
      </c>
      <c r="M6" s="3">
        <f>G6*H6</f>
        <v/>
      </c>
      <c r="N6" s="3">
        <f>J6*I6</f>
        <v/>
      </c>
    </row>
    <row r="7">
      <c r="A7" s="2" t="inlineStr">
        <is>
          <t>L-S-E-U</t>
        </is>
      </c>
      <c r="B7" s="2" t="inlineStr">
        <is>
          <t>Linear</t>
        </is>
      </c>
      <c r="C7" s="2" t="inlineStr">
        <is>
          <t>Static</t>
        </is>
      </c>
      <c r="D7" s="2" t="inlineStr">
        <is>
          <t>Economic</t>
        </is>
      </c>
      <c r="E7" s="2" t="inlineStr">
        <is>
          <t>Ensemble shrinkage</t>
        </is>
      </c>
      <c r="F7" s="3" t="inlineStr">
        <is>
          <t>E24 + E28</t>
        </is>
      </c>
      <c r="G7" s="3">
        <f>IF(B7="Nonlinear",1,-1)</f>
        <v/>
      </c>
      <c r="H7" s="3">
        <f>IF(C7="State",1,-1)</f>
        <v/>
      </c>
      <c r="I7" s="3">
        <f>IF(D7="Economic",1,-1)</f>
        <v/>
      </c>
      <c r="J7" s="3">
        <f>IF(E7="None",-1,1)</f>
        <v/>
      </c>
      <c r="K7" s="3">
        <f>H7*I7</f>
        <v/>
      </c>
      <c r="L7" s="3">
        <f>G7*I7</f>
        <v/>
      </c>
      <c r="M7" s="3">
        <f>G7*H7</f>
        <v/>
      </c>
      <c r="N7" s="3">
        <f>J7*I7</f>
        <v/>
      </c>
    </row>
    <row r="8">
      <c r="A8" s="2" t="inlineStr">
        <is>
          <t>L-C-P-0</t>
        </is>
      </c>
      <c r="B8" s="2" t="inlineStr">
        <is>
          <t>Linear</t>
        </is>
      </c>
      <c r="C8" s="2" t="inlineStr">
        <is>
          <t>State</t>
        </is>
      </c>
      <c r="D8" s="2" t="inlineStr">
        <is>
          <t>Prediction</t>
        </is>
      </c>
      <c r="E8" s="2" t="inlineStr">
        <is>
          <t>None</t>
        </is>
      </c>
      <c r="F8" s="3" t="inlineStr">
        <is>
          <t>E22</t>
        </is>
      </c>
      <c r="G8" s="3">
        <f>IF(B8="Nonlinear",1,-1)</f>
        <v/>
      </c>
      <c r="H8" s="3">
        <f>IF(C8="State",1,-1)</f>
        <v/>
      </c>
      <c r="I8" s="3">
        <f>IF(D8="Economic",1,-1)</f>
        <v/>
      </c>
      <c r="J8" s="3">
        <f>IF(E8="None",-1,1)</f>
        <v/>
      </c>
      <c r="K8" s="3">
        <f>H8*I8</f>
        <v/>
      </c>
      <c r="L8" s="3">
        <f>G8*I8</f>
        <v/>
      </c>
      <c r="M8" s="3">
        <f>G8*H8</f>
        <v/>
      </c>
      <c r="N8" s="3">
        <f>J8*I8</f>
        <v/>
      </c>
    </row>
    <row r="9">
      <c r="A9" s="2" t="inlineStr">
        <is>
          <t>L-C-P-U</t>
        </is>
      </c>
      <c r="B9" s="2" t="inlineStr">
        <is>
          <t>Linear</t>
        </is>
      </c>
      <c r="C9" s="2" t="inlineStr">
        <is>
          <t>State</t>
        </is>
      </c>
      <c r="D9" s="2" t="inlineStr">
        <is>
          <t>Prediction</t>
        </is>
      </c>
      <c r="E9" s="2" t="inlineStr">
        <is>
          <t>Ensemble shrinkage</t>
        </is>
      </c>
      <c r="F9" s="3" t="inlineStr">
        <is>
          <t>E22 + E28</t>
        </is>
      </c>
      <c r="G9" s="3">
        <f>IF(B9="Nonlinear",1,-1)</f>
        <v/>
      </c>
      <c r="H9" s="3">
        <f>IF(C9="State",1,-1)</f>
        <v/>
      </c>
      <c r="I9" s="3">
        <f>IF(D9="Economic",1,-1)</f>
        <v/>
      </c>
      <c r="J9" s="3">
        <f>IF(E9="None",-1,1)</f>
        <v/>
      </c>
      <c r="K9" s="3">
        <f>H9*I9</f>
        <v/>
      </c>
      <c r="L9" s="3">
        <f>G9*I9</f>
        <v/>
      </c>
      <c r="M9" s="3">
        <f>G9*H9</f>
        <v/>
      </c>
      <c r="N9" s="3">
        <f>J9*I9</f>
        <v/>
      </c>
    </row>
    <row r="10">
      <c r="A10" s="2" t="inlineStr">
        <is>
          <t>L-C-E-0</t>
        </is>
      </c>
      <c r="B10" s="2" t="inlineStr">
        <is>
          <t>Linear</t>
        </is>
      </c>
      <c r="C10" s="2" t="inlineStr">
        <is>
          <t>State</t>
        </is>
      </c>
      <c r="D10" s="2" t="inlineStr">
        <is>
          <t>Economic</t>
        </is>
      </c>
      <c r="E10" s="2" t="inlineStr">
        <is>
          <t>None</t>
        </is>
      </c>
      <c r="F10" s="3" t="inlineStr">
        <is>
          <t>E26</t>
        </is>
      </c>
      <c r="G10" s="3">
        <f>IF(B10="Nonlinear",1,-1)</f>
        <v/>
      </c>
      <c r="H10" s="3">
        <f>IF(C10="State",1,-1)</f>
        <v/>
      </c>
      <c r="I10" s="3">
        <f>IF(D10="Economic",1,-1)</f>
        <v/>
      </c>
      <c r="J10" s="3">
        <f>IF(E10="None",-1,1)</f>
        <v/>
      </c>
      <c r="K10" s="3">
        <f>H10*I10</f>
        <v/>
      </c>
      <c r="L10" s="3">
        <f>G10*I10</f>
        <v/>
      </c>
      <c r="M10" s="3">
        <f>G10*H10</f>
        <v/>
      </c>
      <c r="N10" s="3">
        <f>J10*I10</f>
        <v/>
      </c>
    </row>
    <row r="11">
      <c r="A11" s="2" t="inlineStr">
        <is>
          <t>L-C-E-U</t>
        </is>
      </c>
      <c r="B11" s="2" t="inlineStr">
        <is>
          <t>Linear</t>
        </is>
      </c>
      <c r="C11" s="2" t="inlineStr">
        <is>
          <t>State</t>
        </is>
      </c>
      <c r="D11" s="2" t="inlineStr">
        <is>
          <t>Economic</t>
        </is>
      </c>
      <c r="E11" s="2" t="inlineStr">
        <is>
          <t>Ensemble shrinkage</t>
        </is>
      </c>
      <c r="F11" s="3" t="inlineStr">
        <is>
          <t>E26 + E28</t>
        </is>
      </c>
      <c r="G11" s="3">
        <f>IF(B11="Nonlinear",1,-1)</f>
        <v/>
      </c>
      <c r="H11" s="3">
        <f>IF(C11="State",1,-1)</f>
        <v/>
      </c>
      <c r="I11" s="3">
        <f>IF(D11="Economic",1,-1)</f>
        <v/>
      </c>
      <c r="J11" s="3">
        <f>IF(E11="None",-1,1)</f>
        <v/>
      </c>
      <c r="K11" s="3">
        <f>H11*I11</f>
        <v/>
      </c>
      <c r="L11" s="3">
        <f>G11*I11</f>
        <v/>
      </c>
      <c r="M11" s="3">
        <f>G11*H11</f>
        <v/>
      </c>
      <c r="N11" s="3">
        <f>J11*I11</f>
        <v/>
      </c>
    </row>
    <row r="12">
      <c r="A12" s="2" t="inlineStr">
        <is>
          <t>N-S-P-0</t>
        </is>
      </c>
      <c r="B12" s="2" t="inlineStr">
        <is>
          <t>Nonlinear</t>
        </is>
      </c>
      <c r="C12" s="2" t="inlineStr">
        <is>
          <t>Static</t>
        </is>
      </c>
      <c r="D12" s="2" t="inlineStr">
        <is>
          <t>Prediction</t>
        </is>
      </c>
      <c r="E12" s="2" t="inlineStr">
        <is>
          <t>None</t>
        </is>
      </c>
      <c r="F12" s="3" t="inlineStr">
        <is>
          <t>E21</t>
        </is>
      </c>
      <c r="G12" s="3">
        <f>IF(B12="Nonlinear",1,-1)</f>
        <v/>
      </c>
      <c r="H12" s="3">
        <f>IF(C12="State",1,-1)</f>
        <v/>
      </c>
      <c r="I12" s="3">
        <f>IF(D12="Economic",1,-1)</f>
        <v/>
      </c>
      <c r="J12" s="3">
        <f>IF(E12="None",-1,1)</f>
        <v/>
      </c>
      <c r="K12" s="3">
        <f>H12*I12</f>
        <v/>
      </c>
      <c r="L12" s="3">
        <f>G12*I12</f>
        <v/>
      </c>
      <c r="M12" s="3">
        <f>G12*H12</f>
        <v/>
      </c>
      <c r="N12" s="3">
        <f>J12*I12</f>
        <v/>
      </c>
    </row>
    <row r="13">
      <c r="A13" s="2" t="inlineStr">
        <is>
          <t>N-S-P-U</t>
        </is>
      </c>
      <c r="B13" s="2" t="inlineStr">
        <is>
          <t>Nonlinear</t>
        </is>
      </c>
      <c r="C13" s="2" t="inlineStr">
        <is>
          <t>Static</t>
        </is>
      </c>
      <c r="D13" s="2" t="inlineStr">
        <is>
          <t>Prediction</t>
        </is>
      </c>
      <c r="E13" s="2" t="inlineStr">
        <is>
          <t>Ensemble shrinkage</t>
        </is>
      </c>
      <c r="F13" s="3" t="inlineStr">
        <is>
          <t>E21 + E28</t>
        </is>
      </c>
      <c r="G13" s="3">
        <f>IF(B13="Nonlinear",1,-1)</f>
        <v/>
      </c>
      <c r="H13" s="3">
        <f>IF(C13="State",1,-1)</f>
        <v/>
      </c>
      <c r="I13" s="3">
        <f>IF(D13="Economic",1,-1)</f>
        <v/>
      </c>
      <c r="J13" s="3">
        <f>IF(E13="None",-1,1)</f>
        <v/>
      </c>
      <c r="K13" s="3">
        <f>H13*I13</f>
        <v/>
      </c>
      <c r="L13" s="3">
        <f>G13*I13</f>
        <v/>
      </c>
      <c r="M13" s="3">
        <f>G13*H13</f>
        <v/>
      </c>
      <c r="N13" s="3">
        <f>J13*I13</f>
        <v/>
      </c>
    </row>
    <row r="14">
      <c r="A14" s="2" t="inlineStr">
        <is>
          <t>N-S-E-0</t>
        </is>
      </c>
      <c r="B14" s="2" t="inlineStr">
        <is>
          <t>Nonlinear</t>
        </is>
      </c>
      <c r="C14" s="2" t="inlineStr">
        <is>
          <t>Static</t>
        </is>
      </c>
      <c r="D14" s="2" t="inlineStr">
        <is>
          <t>Economic</t>
        </is>
      </c>
      <c r="E14" s="2" t="inlineStr">
        <is>
          <t>None</t>
        </is>
      </c>
      <c r="F14" s="3" t="inlineStr">
        <is>
          <t>E25</t>
        </is>
      </c>
      <c r="G14" s="3">
        <f>IF(B14="Nonlinear",1,-1)</f>
        <v/>
      </c>
      <c r="H14" s="3">
        <f>IF(C14="State",1,-1)</f>
        <v/>
      </c>
      <c r="I14" s="3">
        <f>IF(D14="Economic",1,-1)</f>
        <v/>
      </c>
      <c r="J14" s="3">
        <f>IF(E14="None",-1,1)</f>
        <v/>
      </c>
      <c r="K14" s="3">
        <f>H14*I14</f>
        <v/>
      </c>
      <c r="L14" s="3">
        <f>G14*I14</f>
        <v/>
      </c>
      <c r="M14" s="3">
        <f>G14*H14</f>
        <v/>
      </c>
      <c r="N14" s="3">
        <f>J14*I14</f>
        <v/>
      </c>
    </row>
    <row r="15">
      <c r="A15" s="2" t="inlineStr">
        <is>
          <t>N-S-E-U</t>
        </is>
      </c>
      <c r="B15" s="2" t="inlineStr">
        <is>
          <t>Nonlinear</t>
        </is>
      </c>
      <c r="C15" s="2" t="inlineStr">
        <is>
          <t>Static</t>
        </is>
      </c>
      <c r="D15" s="2" t="inlineStr">
        <is>
          <t>Economic</t>
        </is>
      </c>
      <c r="E15" s="2" t="inlineStr">
        <is>
          <t>Ensemble shrinkage</t>
        </is>
      </c>
      <c r="F15" s="3" t="inlineStr">
        <is>
          <t>E25 + E28</t>
        </is>
      </c>
      <c r="G15" s="3">
        <f>IF(B15="Nonlinear",1,-1)</f>
        <v/>
      </c>
      <c r="H15" s="3">
        <f>IF(C15="State",1,-1)</f>
        <v/>
      </c>
      <c r="I15" s="3">
        <f>IF(D15="Economic",1,-1)</f>
        <v/>
      </c>
      <c r="J15" s="3">
        <f>IF(E15="None",-1,1)</f>
        <v/>
      </c>
      <c r="K15" s="3">
        <f>H15*I15</f>
        <v/>
      </c>
      <c r="L15" s="3">
        <f>G15*I15</f>
        <v/>
      </c>
      <c r="M15" s="3">
        <f>G15*H15</f>
        <v/>
      </c>
      <c r="N15" s="3">
        <f>J15*I15</f>
        <v/>
      </c>
    </row>
    <row r="16">
      <c r="A16" s="2" t="inlineStr">
        <is>
          <t>N-C-P-0</t>
        </is>
      </c>
      <c r="B16" s="2" t="inlineStr">
        <is>
          <t>Nonlinear</t>
        </is>
      </c>
      <c r="C16" s="2" t="inlineStr">
        <is>
          <t>State</t>
        </is>
      </c>
      <c r="D16" s="2" t="inlineStr">
        <is>
          <t>Prediction</t>
        </is>
      </c>
      <c r="E16" s="2" t="inlineStr">
        <is>
          <t>None</t>
        </is>
      </c>
      <c r="F16" s="3" t="inlineStr">
        <is>
          <t>E23</t>
        </is>
      </c>
      <c r="G16" s="3">
        <f>IF(B16="Nonlinear",1,-1)</f>
        <v/>
      </c>
      <c r="H16" s="3">
        <f>IF(C16="State",1,-1)</f>
        <v/>
      </c>
      <c r="I16" s="3">
        <f>IF(D16="Economic",1,-1)</f>
        <v/>
      </c>
      <c r="J16" s="3">
        <f>IF(E16="None",-1,1)</f>
        <v/>
      </c>
      <c r="K16" s="3">
        <f>H16*I16</f>
        <v/>
      </c>
      <c r="L16" s="3">
        <f>G16*I16</f>
        <v/>
      </c>
      <c r="M16" s="3">
        <f>G16*H16</f>
        <v/>
      </c>
      <c r="N16" s="3">
        <f>J16*I16</f>
        <v/>
      </c>
    </row>
    <row r="17">
      <c r="A17" s="2" t="inlineStr">
        <is>
          <t>N-C-P-U</t>
        </is>
      </c>
      <c r="B17" s="2" t="inlineStr">
        <is>
          <t>Nonlinear</t>
        </is>
      </c>
      <c r="C17" s="2" t="inlineStr">
        <is>
          <t>State</t>
        </is>
      </c>
      <c r="D17" s="2" t="inlineStr">
        <is>
          <t>Prediction</t>
        </is>
      </c>
      <c r="E17" s="2" t="inlineStr">
        <is>
          <t>Ensemble shrinkage</t>
        </is>
      </c>
      <c r="F17" s="3" t="inlineStr">
        <is>
          <t>E23 + E28</t>
        </is>
      </c>
      <c r="G17" s="3">
        <f>IF(B17="Nonlinear",1,-1)</f>
        <v/>
      </c>
      <c r="H17" s="3">
        <f>IF(C17="State",1,-1)</f>
        <v/>
      </c>
      <c r="I17" s="3">
        <f>IF(D17="Economic",1,-1)</f>
        <v/>
      </c>
      <c r="J17" s="3">
        <f>IF(E17="None",-1,1)</f>
        <v/>
      </c>
      <c r="K17" s="3">
        <f>H17*I17</f>
        <v/>
      </c>
      <c r="L17" s="3">
        <f>G17*I17</f>
        <v/>
      </c>
      <c r="M17" s="3">
        <f>G17*H17</f>
        <v/>
      </c>
      <c r="N17" s="3">
        <f>J17*I17</f>
        <v/>
      </c>
    </row>
    <row r="18">
      <c r="A18" s="2" t="inlineStr">
        <is>
          <t>N-C-E-0</t>
        </is>
      </c>
      <c r="B18" s="2" t="inlineStr">
        <is>
          <t>Nonlinear</t>
        </is>
      </c>
      <c r="C18" s="2" t="inlineStr">
        <is>
          <t>State</t>
        </is>
      </c>
      <c r="D18" s="2" t="inlineStr">
        <is>
          <t>Economic</t>
        </is>
      </c>
      <c r="E18" s="2" t="inlineStr">
        <is>
          <t>None</t>
        </is>
      </c>
      <c r="F18" s="3" t="inlineStr">
        <is>
          <t>E27</t>
        </is>
      </c>
      <c r="G18" s="3">
        <f>IF(B18="Nonlinear",1,-1)</f>
        <v/>
      </c>
      <c r="H18" s="3">
        <f>IF(C18="State",1,-1)</f>
        <v/>
      </c>
      <c r="I18" s="3">
        <f>IF(D18="Economic",1,-1)</f>
        <v/>
      </c>
      <c r="J18" s="3">
        <f>IF(E18="None",-1,1)</f>
        <v/>
      </c>
      <c r="K18" s="3">
        <f>H18*I18</f>
        <v/>
      </c>
      <c r="L18" s="3">
        <f>G18*I18</f>
        <v/>
      </c>
      <c r="M18" s="3">
        <f>G18*H18</f>
        <v/>
      </c>
      <c r="N18" s="3">
        <f>J18*I18</f>
        <v/>
      </c>
    </row>
    <row r="19">
      <c r="A19" s="2" t="inlineStr">
        <is>
          <t>N-C-E-U</t>
        </is>
      </c>
      <c r="B19" s="2" t="inlineStr">
        <is>
          <t>Nonlinear</t>
        </is>
      </c>
      <c r="C19" s="2" t="inlineStr">
        <is>
          <t>State</t>
        </is>
      </c>
      <c r="D19" s="2" t="inlineStr">
        <is>
          <t>Economic</t>
        </is>
      </c>
      <c r="E19" s="2" t="inlineStr">
        <is>
          <t>Ensemble shrinkage</t>
        </is>
      </c>
      <c r="F19" s="3" t="inlineStr">
        <is>
          <t>E27 + E28</t>
        </is>
      </c>
      <c r="G19" s="3">
        <f>IF(B19="Nonlinear",1,-1)</f>
        <v/>
      </c>
      <c r="H19" s="3">
        <f>IF(C19="State",1,-1)</f>
        <v/>
      </c>
      <c r="I19" s="3">
        <f>IF(D19="Economic",1,-1)</f>
        <v/>
      </c>
      <c r="J19" s="3">
        <f>IF(E19="None",-1,1)</f>
        <v/>
      </c>
      <c r="K19" s="3">
        <f>H19*I19</f>
        <v/>
      </c>
      <c r="L19" s="3">
        <f>G19*I19</f>
        <v/>
      </c>
      <c r="M19" s="3">
        <f>G19*H19</f>
        <v/>
      </c>
      <c r="N19" s="3">
        <f>J19*I19</f>
        <v/>
      </c>
    </row>
    <row r="21">
      <c r="A21" s="8" t="inlineStr">
        <is>
          <t>Check: every contrast column sums to zero (orthogonal design)</t>
        </is>
      </c>
      <c r="G21">
        <f>SUM(G4:G19)</f>
        <v/>
      </c>
      <c r="H21">
        <f>SUM(H4:H19)</f>
        <v/>
      </c>
      <c r="I21">
        <f>SUM(I4:I19)</f>
        <v/>
      </c>
      <c r="J21">
        <f>SUM(J4:J19)</f>
        <v/>
      </c>
      <c r="K21">
        <f>SUM(K4:K19)</f>
        <v/>
      </c>
      <c r="L21">
        <f>SUM(L4:L19)</f>
        <v/>
      </c>
      <c r="M21">
        <f>SUM(M4:M19)</f>
        <v/>
      </c>
      <c r="N21">
        <f>SUM(N4:N19)</f>
        <v/>
      </c>
    </row>
  </sheetData>
  <autoFilter ref="A3:N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4" t="inlineStr">
        <is>
          <t>Roadmap Gantt (formula-driven)</t>
        </is>
      </c>
    </row>
    <row r="2">
      <c r="A2" s="5" t="inlineStr">
        <is>
          <t>Edit Start/End months; cells with 1 are shaded by conditional formatting</t>
        </is>
      </c>
    </row>
    <row r="3">
      <c r="A3" s="9" t="inlineStr">
        <is>
          <t>Phase</t>
        </is>
      </c>
      <c r="B3" s="9" t="inlineStr">
        <is>
          <t>Start month</t>
        </is>
      </c>
      <c r="C3" s="9" t="inlineStr">
        <is>
          <t>End month</t>
        </is>
      </c>
      <c r="D3" s="9" t="n">
        <v>1</v>
      </c>
      <c r="E3" s="9" t="n">
        <v>2</v>
      </c>
      <c r="F3" s="9" t="n">
        <v>3</v>
      </c>
      <c r="G3" s="9" t="n">
        <v>4</v>
      </c>
      <c r="H3" s="9" t="n">
        <v>5</v>
      </c>
      <c r="I3" s="9" t="n">
        <v>6</v>
      </c>
      <c r="J3" s="9" t="n">
        <v>7</v>
      </c>
      <c r="K3" s="9" t="n">
        <v>8</v>
      </c>
      <c r="L3" s="9" t="n">
        <v>9</v>
      </c>
      <c r="M3" s="9" t="n">
        <v>10</v>
      </c>
      <c r="N3" s="9" t="n">
        <v>11</v>
      </c>
      <c r="O3" s="9" t="n">
        <v>12</v>
      </c>
      <c r="P3" s="9" t="n">
        <v>13</v>
      </c>
      <c r="Q3" s="9" t="n">
        <v>14</v>
      </c>
      <c r="R3" s="9" t="n">
        <v>15</v>
      </c>
      <c r="S3" s="9" t="n">
        <v>16</v>
      </c>
    </row>
    <row r="4">
      <c r="A4" t="inlineStr">
        <is>
          <t>1. Literature + research design</t>
        </is>
      </c>
      <c r="B4" t="n">
        <v>1</v>
      </c>
      <c r="C4" t="n">
        <v>2</v>
      </c>
      <c r="D4" s="10">
        <f>IF(AND(D$3&gt;=$B4,D$3&lt;=$C4),1,"")</f>
        <v/>
      </c>
      <c r="E4" s="10">
        <f>IF(AND(E$3&gt;=$B4,E$3&lt;=$C4),1,"")</f>
        <v/>
      </c>
      <c r="F4" s="10">
        <f>IF(AND(F$3&gt;=$B4,F$3&lt;=$C4),1,"")</f>
        <v/>
      </c>
      <c r="G4" s="10">
        <f>IF(AND(G$3&gt;=$B4,G$3&lt;=$C4),1,"")</f>
        <v/>
      </c>
      <c r="H4" s="10">
        <f>IF(AND(H$3&gt;=$B4,H$3&lt;=$C4),1,"")</f>
        <v/>
      </c>
      <c r="I4" s="10">
        <f>IF(AND(I$3&gt;=$B4,I$3&lt;=$C4),1,"")</f>
        <v/>
      </c>
      <c r="J4" s="10">
        <f>IF(AND(J$3&gt;=$B4,J$3&lt;=$C4),1,"")</f>
        <v/>
      </c>
      <c r="K4" s="10">
        <f>IF(AND(K$3&gt;=$B4,K$3&lt;=$C4),1,"")</f>
        <v/>
      </c>
      <c r="L4" s="10">
        <f>IF(AND(L$3&gt;=$B4,L$3&lt;=$C4),1,"")</f>
        <v/>
      </c>
      <c r="M4" s="10">
        <f>IF(AND(M$3&gt;=$B4,M$3&lt;=$C4),1,"")</f>
        <v/>
      </c>
      <c r="N4" s="10">
        <f>IF(AND(N$3&gt;=$B4,N$3&lt;=$C4),1,"")</f>
        <v/>
      </c>
      <c r="O4" s="10">
        <f>IF(AND(O$3&gt;=$B4,O$3&lt;=$C4),1,"")</f>
        <v/>
      </c>
      <c r="P4" s="10">
        <f>IF(AND(P$3&gt;=$B4,P$3&lt;=$C4),1,"")</f>
        <v/>
      </c>
      <c r="Q4" s="10">
        <f>IF(AND(Q$3&gt;=$B4,Q$3&lt;=$C4),1,"")</f>
        <v/>
      </c>
      <c r="R4" s="10">
        <f>IF(AND(R$3&gt;=$B4,R$3&lt;=$C4),1,"")</f>
        <v/>
      </c>
      <c r="S4" s="10">
        <f>IF(AND(S$3&gt;=$B4,S$3&lt;=$C4),1,"")</f>
        <v/>
      </c>
    </row>
    <row r="5">
      <c r="A5" t="inlineStr">
        <is>
          <t>2. Data infrastructure</t>
        </is>
      </c>
      <c r="B5" t="n">
        <v>2</v>
      </c>
      <c r="C5" t="n">
        <v>4</v>
      </c>
      <c r="D5" s="10">
        <f>IF(AND(D$3&gt;=$B5,D$3&lt;=$C5),1,"")</f>
        <v/>
      </c>
      <c r="E5" s="10">
        <f>IF(AND(E$3&gt;=$B5,E$3&lt;=$C5),1,"")</f>
        <v/>
      </c>
      <c r="F5" s="10">
        <f>IF(AND(F$3&gt;=$B5,F$3&lt;=$C5),1,"")</f>
        <v/>
      </c>
      <c r="G5" s="10">
        <f>IF(AND(G$3&gt;=$B5,G$3&lt;=$C5),1,"")</f>
        <v/>
      </c>
      <c r="H5" s="10">
        <f>IF(AND(H$3&gt;=$B5,H$3&lt;=$C5),1,"")</f>
        <v/>
      </c>
      <c r="I5" s="10">
        <f>IF(AND(I$3&gt;=$B5,I$3&lt;=$C5),1,"")</f>
        <v/>
      </c>
      <c r="J5" s="10">
        <f>IF(AND(J$3&gt;=$B5,J$3&lt;=$C5),1,"")</f>
        <v/>
      </c>
      <c r="K5" s="10">
        <f>IF(AND(K$3&gt;=$B5,K$3&lt;=$C5),1,"")</f>
        <v/>
      </c>
      <c r="L5" s="10">
        <f>IF(AND(L$3&gt;=$B5,L$3&lt;=$C5),1,"")</f>
        <v/>
      </c>
      <c r="M5" s="10">
        <f>IF(AND(M$3&gt;=$B5,M$3&lt;=$C5),1,"")</f>
        <v/>
      </c>
      <c r="N5" s="10">
        <f>IF(AND(N$3&gt;=$B5,N$3&lt;=$C5),1,"")</f>
        <v/>
      </c>
      <c r="O5" s="10">
        <f>IF(AND(O$3&gt;=$B5,O$3&lt;=$C5),1,"")</f>
        <v/>
      </c>
      <c r="P5" s="10">
        <f>IF(AND(P$3&gt;=$B5,P$3&lt;=$C5),1,"")</f>
        <v/>
      </c>
      <c r="Q5" s="10">
        <f>IF(AND(Q$3&gt;=$B5,Q$3&lt;=$C5),1,"")</f>
        <v/>
      </c>
      <c r="R5" s="10">
        <f>IF(AND(R$3&gt;=$B5,R$3&lt;=$C5),1,"")</f>
        <v/>
      </c>
      <c r="S5" s="10">
        <f>IF(AND(S$3&gt;=$B5,S$3&lt;=$C5),1,"")</f>
        <v/>
      </c>
    </row>
    <row r="6">
      <c r="A6" t="inlineStr">
        <is>
          <t>3. Alpha signal library</t>
        </is>
      </c>
      <c r="B6" t="n">
        <v>3</v>
      </c>
      <c r="C6" t="n">
        <v>5</v>
      </c>
      <c r="D6" s="10">
        <f>IF(AND(D$3&gt;=$B6,D$3&lt;=$C6),1,"")</f>
        <v/>
      </c>
      <c r="E6" s="10">
        <f>IF(AND(E$3&gt;=$B6,E$3&lt;=$C6),1,"")</f>
        <v/>
      </c>
      <c r="F6" s="10">
        <f>IF(AND(F$3&gt;=$B6,F$3&lt;=$C6),1,"")</f>
        <v/>
      </c>
      <c r="G6" s="10">
        <f>IF(AND(G$3&gt;=$B6,G$3&lt;=$C6),1,"")</f>
        <v/>
      </c>
      <c r="H6" s="10">
        <f>IF(AND(H$3&gt;=$B6,H$3&lt;=$C6),1,"")</f>
        <v/>
      </c>
      <c r="I6" s="10">
        <f>IF(AND(I$3&gt;=$B6,I$3&lt;=$C6),1,"")</f>
        <v/>
      </c>
      <c r="J6" s="10">
        <f>IF(AND(J$3&gt;=$B6,J$3&lt;=$C6),1,"")</f>
        <v/>
      </c>
      <c r="K6" s="10">
        <f>IF(AND(K$3&gt;=$B6,K$3&lt;=$C6),1,"")</f>
        <v/>
      </c>
      <c r="L6" s="10">
        <f>IF(AND(L$3&gt;=$B6,L$3&lt;=$C6),1,"")</f>
        <v/>
      </c>
      <c r="M6" s="10">
        <f>IF(AND(M$3&gt;=$B6,M$3&lt;=$C6),1,"")</f>
        <v/>
      </c>
      <c r="N6" s="10">
        <f>IF(AND(N$3&gt;=$B6,N$3&lt;=$C6),1,"")</f>
        <v/>
      </c>
      <c r="O6" s="10">
        <f>IF(AND(O$3&gt;=$B6,O$3&lt;=$C6),1,"")</f>
        <v/>
      </c>
      <c r="P6" s="10">
        <f>IF(AND(P$3&gt;=$B6,P$3&lt;=$C6),1,"")</f>
        <v/>
      </c>
      <c r="Q6" s="10">
        <f>IF(AND(Q$3&gt;=$B6,Q$3&lt;=$C6),1,"")</f>
        <v/>
      </c>
      <c r="R6" s="10">
        <f>IF(AND(R$3&gt;=$B6,R$3&lt;=$C6),1,"")</f>
        <v/>
      </c>
      <c r="S6" s="10">
        <f>IF(AND(S$3&gt;=$B6,S$3&lt;=$C6),1,"")</f>
        <v/>
      </c>
    </row>
    <row r="7">
      <c r="A7" t="inlineStr">
        <is>
          <t>4. Baseline models</t>
        </is>
      </c>
      <c r="B7" t="n">
        <v>5</v>
      </c>
      <c r="C7" t="n">
        <v>6</v>
      </c>
      <c r="D7" s="10">
        <f>IF(AND(D$3&gt;=$B7,D$3&lt;=$C7),1,"")</f>
        <v/>
      </c>
      <c r="E7" s="10">
        <f>IF(AND(E$3&gt;=$B7,E$3&lt;=$C7),1,"")</f>
        <v/>
      </c>
      <c r="F7" s="10">
        <f>IF(AND(F$3&gt;=$B7,F$3&lt;=$C7),1,"")</f>
        <v/>
      </c>
      <c r="G7" s="10">
        <f>IF(AND(G$3&gt;=$B7,G$3&lt;=$C7),1,"")</f>
        <v/>
      </c>
      <c r="H7" s="10">
        <f>IF(AND(H$3&gt;=$B7,H$3&lt;=$C7),1,"")</f>
        <v/>
      </c>
      <c r="I7" s="10">
        <f>IF(AND(I$3&gt;=$B7,I$3&lt;=$C7),1,"")</f>
        <v/>
      </c>
      <c r="J7" s="10">
        <f>IF(AND(J$3&gt;=$B7,J$3&lt;=$C7),1,"")</f>
        <v/>
      </c>
      <c r="K7" s="10">
        <f>IF(AND(K$3&gt;=$B7,K$3&lt;=$C7),1,"")</f>
        <v/>
      </c>
      <c r="L7" s="10">
        <f>IF(AND(L$3&gt;=$B7,L$3&lt;=$C7),1,"")</f>
        <v/>
      </c>
      <c r="M7" s="10">
        <f>IF(AND(M$3&gt;=$B7,M$3&lt;=$C7),1,"")</f>
        <v/>
      </c>
      <c r="N7" s="10">
        <f>IF(AND(N$3&gt;=$B7,N$3&lt;=$C7),1,"")</f>
        <v/>
      </c>
      <c r="O7" s="10">
        <f>IF(AND(O$3&gt;=$B7,O$3&lt;=$C7),1,"")</f>
        <v/>
      </c>
      <c r="P7" s="10">
        <f>IF(AND(P$3&gt;=$B7,P$3&lt;=$C7),1,"")</f>
        <v/>
      </c>
      <c r="Q7" s="10">
        <f>IF(AND(Q$3&gt;=$B7,Q$3&lt;=$C7),1,"")</f>
        <v/>
      </c>
      <c r="R7" s="10">
        <f>IF(AND(R$3&gt;=$B7,R$3&lt;=$C7),1,"")</f>
        <v/>
      </c>
      <c r="S7" s="10">
        <f>IF(AND(S$3&gt;=$B7,S$3&lt;=$C7),1,"")</f>
        <v/>
      </c>
    </row>
    <row r="8">
      <c r="A8" t="inlineStr">
        <is>
          <t>5. ML signal combination</t>
        </is>
      </c>
      <c r="B8" t="n">
        <v>6</v>
      </c>
      <c r="C8" t="n">
        <v>9</v>
      </c>
      <c r="D8" s="10">
        <f>IF(AND(D$3&gt;=$B8,D$3&lt;=$C8),1,"")</f>
        <v/>
      </c>
      <c r="E8" s="10">
        <f>IF(AND(E$3&gt;=$B8,E$3&lt;=$C8),1,"")</f>
        <v/>
      </c>
      <c r="F8" s="10">
        <f>IF(AND(F$3&gt;=$B8,F$3&lt;=$C8),1,"")</f>
        <v/>
      </c>
      <c r="G8" s="10">
        <f>IF(AND(G$3&gt;=$B8,G$3&lt;=$C8),1,"")</f>
        <v/>
      </c>
      <c r="H8" s="10">
        <f>IF(AND(H$3&gt;=$B8,H$3&lt;=$C8),1,"")</f>
        <v/>
      </c>
      <c r="I8" s="10">
        <f>IF(AND(I$3&gt;=$B8,I$3&lt;=$C8),1,"")</f>
        <v/>
      </c>
      <c r="J8" s="10">
        <f>IF(AND(J$3&gt;=$B8,J$3&lt;=$C8),1,"")</f>
        <v/>
      </c>
      <c r="K8" s="10">
        <f>IF(AND(K$3&gt;=$B8,K$3&lt;=$C8),1,"")</f>
        <v/>
      </c>
      <c r="L8" s="10">
        <f>IF(AND(L$3&gt;=$B8,L$3&lt;=$C8),1,"")</f>
        <v/>
      </c>
      <c r="M8" s="10">
        <f>IF(AND(M$3&gt;=$B8,M$3&lt;=$C8),1,"")</f>
        <v/>
      </c>
      <c r="N8" s="10">
        <f>IF(AND(N$3&gt;=$B8,N$3&lt;=$C8),1,"")</f>
        <v/>
      </c>
      <c r="O8" s="10">
        <f>IF(AND(O$3&gt;=$B8,O$3&lt;=$C8),1,"")</f>
        <v/>
      </c>
      <c r="P8" s="10">
        <f>IF(AND(P$3&gt;=$B8,P$3&lt;=$C8),1,"")</f>
        <v/>
      </c>
      <c r="Q8" s="10">
        <f>IF(AND(Q$3&gt;=$B8,Q$3&lt;=$C8),1,"")</f>
        <v/>
      </c>
      <c r="R8" s="10">
        <f>IF(AND(R$3&gt;=$B8,R$3&lt;=$C8),1,"")</f>
        <v/>
      </c>
      <c r="S8" s="10">
        <f>IF(AND(S$3&gt;=$B8,S$3&lt;=$C8),1,"")</f>
        <v/>
      </c>
    </row>
    <row r="9">
      <c r="A9" t="inlineStr">
        <is>
          <t>6. Portfolio construction</t>
        </is>
      </c>
      <c r="B9" t="n">
        <v>8</v>
      </c>
      <c r="C9" t="n">
        <v>10</v>
      </c>
      <c r="D9" s="10">
        <f>IF(AND(D$3&gt;=$B9,D$3&lt;=$C9),1,"")</f>
        <v/>
      </c>
      <c r="E9" s="10">
        <f>IF(AND(E$3&gt;=$B9,E$3&lt;=$C9),1,"")</f>
        <v/>
      </c>
      <c r="F9" s="10">
        <f>IF(AND(F$3&gt;=$B9,F$3&lt;=$C9),1,"")</f>
        <v/>
      </c>
      <c r="G9" s="10">
        <f>IF(AND(G$3&gt;=$B9,G$3&lt;=$C9),1,"")</f>
        <v/>
      </c>
      <c r="H9" s="10">
        <f>IF(AND(H$3&gt;=$B9,H$3&lt;=$C9),1,"")</f>
        <v/>
      </c>
      <c r="I9" s="10">
        <f>IF(AND(I$3&gt;=$B9,I$3&lt;=$C9),1,"")</f>
        <v/>
      </c>
      <c r="J9" s="10">
        <f>IF(AND(J$3&gt;=$B9,J$3&lt;=$C9),1,"")</f>
        <v/>
      </c>
      <c r="K9" s="10">
        <f>IF(AND(K$3&gt;=$B9,K$3&lt;=$C9),1,"")</f>
        <v/>
      </c>
      <c r="L9" s="10">
        <f>IF(AND(L$3&gt;=$B9,L$3&lt;=$C9),1,"")</f>
        <v/>
      </c>
      <c r="M9" s="10">
        <f>IF(AND(M$3&gt;=$B9,M$3&lt;=$C9),1,"")</f>
        <v/>
      </c>
      <c r="N9" s="10">
        <f>IF(AND(N$3&gt;=$B9,N$3&lt;=$C9),1,"")</f>
        <v/>
      </c>
      <c r="O9" s="10">
        <f>IF(AND(O$3&gt;=$B9,O$3&lt;=$C9),1,"")</f>
        <v/>
      </c>
      <c r="P9" s="10">
        <f>IF(AND(P$3&gt;=$B9,P$3&lt;=$C9),1,"")</f>
        <v/>
      </c>
      <c r="Q9" s="10">
        <f>IF(AND(Q$3&gt;=$B9,Q$3&lt;=$C9),1,"")</f>
        <v/>
      </c>
      <c r="R9" s="10">
        <f>IF(AND(R$3&gt;=$B9,R$3&lt;=$C9),1,"")</f>
        <v/>
      </c>
      <c r="S9" s="10">
        <f>IF(AND(S$3&gt;=$B9,S$3&lt;=$C9),1,"")</f>
        <v/>
      </c>
    </row>
    <row r="10">
      <c r="A10" t="inlineStr">
        <is>
          <t>7. Robust backtesting</t>
        </is>
      </c>
      <c r="B10" t="n">
        <v>9</v>
      </c>
      <c r="C10" t="n">
        <v>11</v>
      </c>
      <c r="D10" s="10">
        <f>IF(AND(D$3&gt;=$B10,D$3&lt;=$C10),1,"")</f>
        <v/>
      </c>
      <c r="E10" s="10">
        <f>IF(AND(E$3&gt;=$B10,E$3&lt;=$C10),1,"")</f>
        <v/>
      </c>
      <c r="F10" s="10">
        <f>IF(AND(F$3&gt;=$B10,F$3&lt;=$C10),1,"")</f>
        <v/>
      </c>
      <c r="G10" s="10">
        <f>IF(AND(G$3&gt;=$B10,G$3&lt;=$C10),1,"")</f>
        <v/>
      </c>
      <c r="H10" s="10">
        <f>IF(AND(H$3&gt;=$B10,H$3&lt;=$C10),1,"")</f>
        <v/>
      </c>
      <c r="I10" s="10">
        <f>IF(AND(I$3&gt;=$B10,I$3&lt;=$C10),1,"")</f>
        <v/>
      </c>
      <c r="J10" s="10">
        <f>IF(AND(J$3&gt;=$B10,J$3&lt;=$C10),1,"")</f>
        <v/>
      </c>
      <c r="K10" s="10">
        <f>IF(AND(K$3&gt;=$B10,K$3&lt;=$C10),1,"")</f>
        <v/>
      </c>
      <c r="L10" s="10">
        <f>IF(AND(L$3&gt;=$B10,L$3&lt;=$C10),1,"")</f>
        <v/>
      </c>
      <c r="M10" s="10">
        <f>IF(AND(M$3&gt;=$B10,M$3&lt;=$C10),1,"")</f>
        <v/>
      </c>
      <c r="N10" s="10">
        <f>IF(AND(N$3&gt;=$B10,N$3&lt;=$C10),1,"")</f>
        <v/>
      </c>
      <c r="O10" s="10">
        <f>IF(AND(O$3&gt;=$B10,O$3&lt;=$C10),1,"")</f>
        <v/>
      </c>
      <c r="P10" s="10">
        <f>IF(AND(P$3&gt;=$B10,P$3&lt;=$C10),1,"")</f>
        <v/>
      </c>
      <c r="Q10" s="10">
        <f>IF(AND(Q$3&gt;=$B10,Q$3&lt;=$C10),1,"")</f>
        <v/>
      </c>
      <c r="R10" s="10">
        <f>IF(AND(R$3&gt;=$B10,R$3&lt;=$C10),1,"")</f>
        <v/>
      </c>
      <c r="S10" s="10">
        <f>IF(AND(S$3&gt;=$B10,S$3&lt;=$C10),1,"")</f>
        <v/>
      </c>
    </row>
    <row r="11">
      <c r="A11" t="inlineStr">
        <is>
          <t>8. Robustness + statistical testing</t>
        </is>
      </c>
      <c r="B11" t="n">
        <v>11</v>
      </c>
      <c r="C11" t="n">
        <v>13</v>
      </c>
      <c r="D11" s="10">
        <f>IF(AND(D$3&gt;=$B11,D$3&lt;=$C11),1,"")</f>
        <v/>
      </c>
      <c r="E11" s="10">
        <f>IF(AND(E$3&gt;=$B11,E$3&lt;=$C11),1,"")</f>
        <v/>
      </c>
      <c r="F11" s="10">
        <f>IF(AND(F$3&gt;=$B11,F$3&lt;=$C11),1,"")</f>
        <v/>
      </c>
      <c r="G11" s="10">
        <f>IF(AND(G$3&gt;=$B11,G$3&lt;=$C11),1,"")</f>
        <v/>
      </c>
      <c r="H11" s="10">
        <f>IF(AND(H$3&gt;=$B11,H$3&lt;=$C11),1,"")</f>
        <v/>
      </c>
      <c r="I11" s="10">
        <f>IF(AND(I$3&gt;=$B11,I$3&lt;=$C11),1,"")</f>
        <v/>
      </c>
      <c r="J11" s="10">
        <f>IF(AND(J$3&gt;=$B11,J$3&lt;=$C11),1,"")</f>
        <v/>
      </c>
      <c r="K11" s="10">
        <f>IF(AND(K$3&gt;=$B11,K$3&lt;=$C11),1,"")</f>
        <v/>
      </c>
      <c r="L11" s="10">
        <f>IF(AND(L$3&gt;=$B11,L$3&lt;=$C11),1,"")</f>
        <v/>
      </c>
      <c r="M11" s="10">
        <f>IF(AND(M$3&gt;=$B11,M$3&lt;=$C11),1,"")</f>
        <v/>
      </c>
      <c r="N11" s="10">
        <f>IF(AND(N$3&gt;=$B11,N$3&lt;=$C11),1,"")</f>
        <v/>
      </c>
      <c r="O11" s="10">
        <f>IF(AND(O$3&gt;=$B11,O$3&lt;=$C11),1,"")</f>
        <v/>
      </c>
      <c r="P11" s="10">
        <f>IF(AND(P$3&gt;=$B11,P$3&lt;=$C11),1,"")</f>
        <v/>
      </c>
      <c r="Q11" s="10">
        <f>IF(AND(Q$3&gt;=$B11,Q$3&lt;=$C11),1,"")</f>
        <v/>
      </c>
      <c r="R11" s="10">
        <f>IF(AND(R$3&gt;=$B11,R$3&lt;=$C11),1,"")</f>
        <v/>
      </c>
      <c r="S11" s="10">
        <f>IF(AND(S$3&gt;=$B11,S$3&lt;=$C11),1,"")</f>
        <v/>
      </c>
    </row>
    <row r="12">
      <c r="A12" t="inlineStr">
        <is>
          <t>9. Paper writing</t>
        </is>
      </c>
      <c r="B12" t="n">
        <v>12</v>
      </c>
      <c r="C12" t="n">
        <v>15</v>
      </c>
      <c r="D12" s="10">
        <f>IF(AND(D$3&gt;=$B12,D$3&lt;=$C12),1,"")</f>
        <v/>
      </c>
      <c r="E12" s="10">
        <f>IF(AND(E$3&gt;=$B12,E$3&lt;=$C12),1,"")</f>
        <v/>
      </c>
      <c r="F12" s="10">
        <f>IF(AND(F$3&gt;=$B12,F$3&lt;=$C12),1,"")</f>
        <v/>
      </c>
      <c r="G12" s="10">
        <f>IF(AND(G$3&gt;=$B12,G$3&lt;=$C12),1,"")</f>
        <v/>
      </c>
      <c r="H12" s="10">
        <f>IF(AND(H$3&gt;=$B12,H$3&lt;=$C12),1,"")</f>
        <v/>
      </c>
      <c r="I12" s="10">
        <f>IF(AND(I$3&gt;=$B12,I$3&lt;=$C12),1,"")</f>
        <v/>
      </c>
      <c r="J12" s="10">
        <f>IF(AND(J$3&gt;=$B12,J$3&lt;=$C12),1,"")</f>
        <v/>
      </c>
      <c r="K12" s="10">
        <f>IF(AND(K$3&gt;=$B12,K$3&lt;=$C12),1,"")</f>
        <v/>
      </c>
      <c r="L12" s="10">
        <f>IF(AND(L$3&gt;=$B12,L$3&lt;=$C12),1,"")</f>
        <v/>
      </c>
      <c r="M12" s="10">
        <f>IF(AND(M$3&gt;=$B12,M$3&lt;=$C12),1,"")</f>
        <v/>
      </c>
      <c r="N12" s="10">
        <f>IF(AND(N$3&gt;=$B12,N$3&lt;=$C12),1,"")</f>
        <v/>
      </c>
      <c r="O12" s="10">
        <f>IF(AND(O$3&gt;=$B12,O$3&lt;=$C12),1,"")</f>
        <v/>
      </c>
      <c r="P12" s="10">
        <f>IF(AND(P$3&gt;=$B12,P$3&lt;=$C12),1,"")</f>
        <v/>
      </c>
      <c r="Q12" s="10">
        <f>IF(AND(Q$3&gt;=$B12,Q$3&lt;=$C12),1,"")</f>
        <v/>
      </c>
      <c r="R12" s="10">
        <f>IF(AND(R$3&gt;=$B12,R$3&lt;=$C12),1,"")</f>
        <v/>
      </c>
      <c r="S12" s="10">
        <f>IF(AND(S$3&gt;=$B12,S$3&lt;=$C12),1,"")</f>
        <v/>
      </c>
    </row>
    <row r="13">
      <c r="A13" t="inlineStr">
        <is>
          <t>10. Journal submission</t>
        </is>
      </c>
      <c r="B13" t="n">
        <v>15</v>
      </c>
      <c r="C13" t="n">
        <v>16</v>
      </c>
      <c r="D13" s="10">
        <f>IF(AND(D$3&gt;=$B13,D$3&lt;=$C13),1,"")</f>
        <v/>
      </c>
      <c r="E13" s="10">
        <f>IF(AND(E$3&gt;=$B13,E$3&lt;=$C13),1,"")</f>
        <v/>
      </c>
      <c r="F13" s="10">
        <f>IF(AND(F$3&gt;=$B13,F$3&lt;=$C13),1,"")</f>
        <v/>
      </c>
      <c r="G13" s="10">
        <f>IF(AND(G$3&gt;=$B13,G$3&lt;=$C13),1,"")</f>
        <v/>
      </c>
      <c r="H13" s="10">
        <f>IF(AND(H$3&gt;=$B13,H$3&lt;=$C13),1,"")</f>
        <v/>
      </c>
      <c r="I13" s="10">
        <f>IF(AND(I$3&gt;=$B13,I$3&lt;=$C13),1,"")</f>
        <v/>
      </c>
      <c r="J13" s="10">
        <f>IF(AND(J$3&gt;=$B13,J$3&lt;=$C13),1,"")</f>
        <v/>
      </c>
      <c r="K13" s="10">
        <f>IF(AND(K$3&gt;=$B13,K$3&lt;=$C13),1,"")</f>
        <v/>
      </c>
      <c r="L13" s="10">
        <f>IF(AND(L$3&gt;=$B13,L$3&lt;=$C13),1,"")</f>
        <v/>
      </c>
      <c r="M13" s="10">
        <f>IF(AND(M$3&gt;=$B13,M$3&lt;=$C13),1,"")</f>
        <v/>
      </c>
      <c r="N13" s="10">
        <f>IF(AND(N$3&gt;=$B13,N$3&lt;=$C13),1,"")</f>
        <v/>
      </c>
      <c r="O13" s="10">
        <f>IF(AND(O$3&gt;=$B13,O$3&lt;=$C13),1,"")</f>
        <v/>
      </c>
      <c r="P13" s="10">
        <f>IF(AND(P$3&gt;=$B13,P$3&lt;=$C13),1,"")</f>
        <v/>
      </c>
      <c r="Q13" s="10">
        <f>IF(AND(Q$3&gt;=$B13,Q$3&lt;=$C13),1,"")</f>
        <v/>
      </c>
      <c r="R13" s="10">
        <f>IF(AND(R$3&gt;=$B13,R$3&lt;=$C13),1,"")</f>
        <v/>
      </c>
      <c r="S13" s="10">
        <f>IF(AND(S$3&gt;=$B13,S$3&lt;=$C13),1,"")</f>
        <v/>
      </c>
    </row>
  </sheetData>
  <conditionalFormatting sqref="D4:S13">
    <cfRule type="cellIs" priority="1" operator="equal" dxfId="5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0" customWidth="1" min="2" max="2"/>
    <col width="14" customWidth="1" min="3" max="3"/>
    <col width="30" customWidth="1" min="4" max="4"/>
    <col width="14" customWidth="1" min="5" max="5"/>
  </cols>
  <sheetData>
    <row r="1">
      <c r="A1" s="4" t="inlineStr">
        <is>
          <t>Reviewer-proof checklist tracker</t>
        </is>
      </c>
    </row>
    <row r="2">
      <c r="A2" s="5" t="inlineStr">
        <is>
          <t>Status dropdown; completion % recalculates</t>
        </is>
      </c>
      <c r="D2" s="8" t="inlineStr">
        <is>
          <t>Completion:</t>
        </is>
      </c>
      <c r="E2" s="11">
        <f>IFERROR(COUNTIF(C5:C69,"Done")/(COUNTA(B5:B69)-COUNTIF(C5:C69,"N/A")),0)</f>
        <v/>
      </c>
    </row>
    <row r="4" ht="34" customHeight="1">
      <c r="A4" s="1" t="inlineStr">
        <is>
          <t>Section</t>
        </is>
      </c>
      <c r="B4" s="1" t="inlineStr">
        <is>
          <t>Checklist item</t>
        </is>
      </c>
      <c r="C4" s="1" t="inlineStr">
        <is>
          <t>Status</t>
        </is>
      </c>
      <c r="D4" s="1" t="inlineStr">
        <is>
          <t>Evidence location</t>
        </is>
      </c>
      <c r="E4" s="1" t="inlineStr">
        <is>
          <t>Owner</t>
        </is>
      </c>
    </row>
    <row r="5">
      <c r="A5" s="2" t="inlineStr">
        <is>
          <t>A. Contribution and positioning</t>
        </is>
      </c>
      <c r="B5" s="2" t="inlineStr">
        <is>
          <t>The research question is stated in one sentence as an economic question, not a model description.</t>
        </is>
      </c>
      <c r="C5" s="3" t="inlineStr">
        <is>
          <t>Not started</t>
        </is>
      </c>
      <c r="D5" s="2" t="inlineStr"/>
      <c r="E5" s="2" t="inlineStr"/>
    </row>
    <row r="6">
      <c r="A6" s="2" t="inlineStr">
        <is>
          <t>A. Contribution and positioning</t>
        </is>
      </c>
      <c r="B6" s="2" t="inlineStr">
        <is>
          <t>The contribution statement names the closest papers (JKMP2026, SWZ2023, DMNU2020, DMU2024, GKX2020, ACM2023, CHK2024, LMNS2025) and says what is new relative to each.</t>
        </is>
      </c>
      <c r="C6" s="3" t="inlineStr">
        <is>
          <t>Not started</t>
        </is>
      </c>
      <c r="D6" s="2" t="inlineStr"/>
      <c r="E6" s="2" t="inlineStr"/>
    </row>
    <row r="7">
      <c r="A7" s="2" t="inlineStr">
        <is>
          <t>A. Contribution and positioning</t>
        </is>
      </c>
      <c r="B7" s="2" t="inlineStr">
        <is>
          <t>The closest-prior-art tracker has been re-run within 2 weeks of submission (SSRN, NBER, arXiv, conference programmes, forward citations).</t>
        </is>
      </c>
      <c r="C7" s="3" t="inlineStr">
        <is>
          <t>Not started</t>
        </is>
      </c>
      <c r="D7" s="2" t="inlineStr"/>
      <c r="E7" s="2" t="inlineStr"/>
    </row>
    <row r="8">
      <c r="A8" s="2" t="inlineStr">
        <is>
          <t>A. Contribution and positioning</t>
        </is>
      </c>
      <c r="B8" s="2" t="inlineStr">
        <is>
          <t>No "first to" claim appears unless the tracker supports it.</t>
        </is>
      </c>
      <c r="C8" s="3" t="inlineStr">
        <is>
          <t>Not started</t>
        </is>
      </c>
      <c r="D8" s="2" t="inlineStr"/>
      <c r="E8" s="2" t="inlineStr"/>
    </row>
    <row r="9">
      <c r="A9" s="2" t="inlineStr">
        <is>
          <t>A. Contribution and positioning</t>
        </is>
      </c>
      <c r="B9" s="2" t="inlineStr">
        <is>
          <t>The hypotheses were pre-registered (dated document or OSF/AEA registry) before the lockbox was opened.</t>
        </is>
      </c>
      <c r="C9" s="3" t="inlineStr">
        <is>
          <t>Not started</t>
        </is>
      </c>
      <c r="D9" s="2" t="inlineStr"/>
      <c r="E9" s="2" t="inlineStr"/>
    </row>
    <row r="10">
      <c r="A10" s="2" t="inlineStr">
        <is>
          <t>A. Contribution and positioning</t>
        </is>
      </c>
      <c r="B10" s="2" t="inlineStr">
        <is>
          <t>Null or negative results are reported, with power discussion.</t>
        </is>
      </c>
      <c r="C10" s="3" t="inlineStr">
        <is>
          <t>Not started</t>
        </is>
      </c>
      <c r="D10" s="2" t="inlineStr"/>
      <c r="E10" s="2" t="inlineStr"/>
    </row>
    <row r="11">
      <c r="A11" s="2" t="inlineStr">
        <is>
          <t>B. Data and point-in-time integrity</t>
        </is>
      </c>
      <c r="B11" s="2" t="inlineStr">
        <is>
          <t>All data sources, pull dates and versions are documented.</t>
        </is>
      </c>
      <c r="C11" s="3" t="inlineStr">
        <is>
          <t>Not started</t>
        </is>
      </c>
      <c r="D11" s="2" t="inlineStr"/>
      <c r="E11" s="2" t="inlineStr"/>
    </row>
    <row r="12">
      <c r="A12" s="2" t="inlineStr">
        <is>
          <t>B. Data and point-in-time integrity</t>
        </is>
      </c>
      <c r="B12" s="2" t="inlineStr">
        <is>
          <t>Accounting variables are lagged by availability (≥ 4 months annual; RDQ quarterly) and unit tests prove it.</t>
        </is>
      </c>
      <c r="C12" s="3" t="inlineStr">
        <is>
          <t>Not started</t>
        </is>
      </c>
      <c r="D12" s="2" t="inlineStr"/>
      <c r="E12" s="2" t="inlineStr"/>
    </row>
    <row r="13">
      <c r="A13" s="2" t="inlineStr">
        <is>
          <t>B. Data and point-in-time integrity</t>
        </is>
      </c>
      <c r="B13" s="2" t="inlineStr">
        <is>
          <t>Universe formed at t from all live securities (no survivorship).</t>
        </is>
      </c>
      <c r="C13" s="3" t="inlineStr">
        <is>
          <t>Not started</t>
        </is>
      </c>
      <c r="D13" s="2" t="inlineStr"/>
      <c r="E13" s="2" t="inlineStr"/>
    </row>
    <row r="14">
      <c r="A14" s="2" t="inlineStr">
        <is>
          <t>B. Data and point-in-time integrity</t>
        </is>
      </c>
      <c r="B14" s="2" t="inlineStr">
        <is>
          <t>CRSP delisting returns are applied; the convention for missing values is documented.</t>
        </is>
      </c>
      <c r="C14" s="3" t="inlineStr">
        <is>
          <t>Not started</t>
        </is>
      </c>
      <c r="D14" s="2" t="inlineStr"/>
      <c r="E14" s="2" t="inlineStr"/>
    </row>
    <row r="15">
      <c r="A15" s="2" t="inlineStr">
        <is>
          <t>B. Data and point-in-time integrity</t>
        </is>
      </c>
      <c r="B15" s="2" t="inlineStr">
        <is>
          <t>Corporate actions are handled via CRSP adjustment factors and total returns.</t>
        </is>
      </c>
      <c r="C15" s="3" t="inlineStr">
        <is>
          <t>Not started</t>
        </is>
      </c>
      <c r="D15" s="2" t="inlineStr"/>
      <c r="E15" s="2" t="inlineStr"/>
    </row>
    <row r="16">
      <c r="A16" s="2" t="inlineStr">
        <is>
          <t>B. Data and point-in-time integrity</t>
        </is>
      </c>
      <c r="B16" s="2" t="inlineStr">
        <is>
          <t>Microcaps are excluded from the main universe; results including them are in robustness.</t>
        </is>
      </c>
      <c r="C16" s="3" t="inlineStr">
        <is>
          <t>Not started</t>
        </is>
      </c>
      <c r="D16" s="2" t="inlineStr"/>
      <c r="E16" s="2" t="inlineStr"/>
    </row>
    <row r="17">
      <c r="A17" s="2" t="inlineStr">
        <is>
          <t>B. Data and point-in-time integrity</t>
        </is>
      </c>
      <c r="B17" s="2" t="inlineStr">
        <is>
          <t>Macro/state variables use real-time (vintage) data or market-based measures; no smoothed regime probabilities.</t>
        </is>
      </c>
      <c r="C17" s="3" t="inlineStr">
        <is>
          <t>Not started</t>
        </is>
      </c>
      <c r="D17" s="2" t="inlineStr"/>
      <c r="E17" s="2" t="inlineStr"/>
    </row>
    <row r="18">
      <c r="A18" s="2" t="inlineStr">
        <is>
          <t>B. Data and point-in-time integrity</t>
        </is>
      </c>
      <c r="B18" s="2" t="inlineStr">
        <is>
          <t>Rebuilt standard factors correlate &gt; 0.95 with the Ken French library.</t>
        </is>
      </c>
      <c r="C18" s="3" t="inlineStr">
        <is>
          <t>Not started</t>
        </is>
      </c>
      <c r="D18" s="2" t="inlineStr"/>
      <c r="E18" s="2" t="inlineStr"/>
    </row>
    <row r="19">
      <c r="A19" s="2" t="inlineStr">
        <is>
          <t>B. Data and point-in-time integrity</t>
        </is>
      </c>
      <c r="B19" s="2" t="inlineStr">
        <is>
          <t>Signal replication statistics versus Chen-Zimmermann/JKP are reported.</t>
        </is>
      </c>
      <c r="C19" s="3" t="inlineStr">
        <is>
          <t>Not started</t>
        </is>
      </c>
      <c r="D19" s="2" t="inlineStr"/>
      <c r="E19" s="2" t="inlineStr"/>
    </row>
    <row r="20">
      <c r="A20" s="2" t="inlineStr">
        <is>
          <t>B. Data and point-in-time integrity</t>
        </is>
      </c>
      <c r="B20" s="2" t="inlineStr">
        <is>
          <t>Missing-data handling is described, with robustness to imputation methods .</t>
        </is>
      </c>
      <c r="C20" s="3" t="inlineStr">
        <is>
          <t>Not started</t>
        </is>
      </c>
      <c r="D20" s="2" t="inlineStr"/>
      <c r="E20" s="2" t="inlineStr"/>
    </row>
    <row r="21">
      <c r="A21" s="2" t="inlineStr">
        <is>
          <t>C. Validation and leakage</t>
        </is>
      </c>
      <c r="B21" s="2" t="inlineStr">
        <is>
          <t>Walk-forward splits, refit schedule, embargo and purging are documented in a split calendar.</t>
        </is>
      </c>
      <c r="C21" s="3" t="inlineStr">
        <is>
          <t>Not started</t>
        </is>
      </c>
      <c r="D21" s="2" t="inlineStr"/>
      <c r="E21" s="2" t="inlineStr"/>
    </row>
    <row r="22">
      <c r="A22" s="2" t="inlineStr">
        <is>
          <t>C. Validation and leakage</t>
        </is>
      </c>
      <c r="B22" s="2" t="inlineStr">
        <is>
          <t>No hyperparameter is tuned on test data; the validation windows strictly precede test years.</t>
        </is>
      </c>
      <c r="C22" s="3" t="inlineStr">
        <is>
          <t>Not started</t>
        </is>
      </c>
      <c r="D22" s="2" t="inlineStr"/>
      <c r="E22" s="2" t="inlineStr"/>
    </row>
    <row r="23">
      <c r="A23" s="2" t="inlineStr">
        <is>
          <t>C. Validation and leakage</t>
        </is>
      </c>
      <c r="B23" s="2" t="inlineStr">
        <is>
          <t>Lockbox period (2021-2025) opened once, after the specification freeze; the freeze date is recorded.</t>
        </is>
      </c>
      <c r="C23" s="3" t="inlineStr">
        <is>
          <t>Not started</t>
        </is>
      </c>
      <c r="D23" s="2" t="inlineStr"/>
      <c r="E23" s="2" t="inlineStr"/>
    </row>
    <row r="24">
      <c r="A24" s="2" t="inlineStr">
        <is>
          <t>C. Validation and leakage</t>
        </is>
      </c>
      <c r="B24" s="2" t="inlineStr">
        <is>
          <t>Every configuration tried is logged (count reported in the paper).</t>
        </is>
      </c>
      <c r="C24" s="3" t="inlineStr">
        <is>
          <t>Not started</t>
        </is>
      </c>
      <c r="D24" s="2" t="inlineStr"/>
      <c r="E24" s="2" t="inlineStr"/>
    </row>
    <row r="25">
      <c r="A25" s="2" t="inlineStr">
        <is>
          <t>C. Validation and leakage</t>
        </is>
      </c>
      <c r="B25" s="2" t="inlineStr">
        <is>
          <t>Label overlap for multi-month horizons is purged.</t>
        </is>
      </c>
      <c r="C25" s="3" t="inlineStr">
        <is>
          <t>Not started</t>
        </is>
      </c>
      <c r="D25" s="2" t="inlineStr"/>
      <c r="E25" s="2" t="inlineStr"/>
    </row>
    <row r="26">
      <c r="A26" s="2" t="inlineStr">
        <is>
          <t>C. Validation and leakage</t>
        </is>
      </c>
      <c r="B26" s="2" t="inlineStr">
        <is>
          <t>NN results report dispersion across ≥ 10 seeds.</t>
        </is>
      </c>
      <c r="C26" s="3" t="inlineStr">
        <is>
          <t>Not started</t>
        </is>
      </c>
      <c r="D26" s="2" t="inlineStr"/>
      <c r="E26" s="2" t="inlineStr"/>
    </row>
    <row r="27">
      <c r="A27" s="2" t="inlineStr">
        <is>
          <t>D. Benchmarks</t>
        </is>
      </c>
      <c r="B27" s="2" t="inlineStr">
        <is>
          <t>Naive composites (EW, theme-EW, IC-weighted, ICIR-weighted, inverse-vol) are included.</t>
        </is>
      </c>
      <c r="C27" s="3" t="inlineStr">
        <is>
          <t>Not started</t>
        </is>
      </c>
      <c r="D27" s="2" t="inlineStr"/>
      <c r="E27" s="2" t="inlineStr"/>
    </row>
    <row r="28">
      <c r="A28" s="2" t="inlineStr">
        <is>
          <t>D. Benchmarks</t>
        </is>
      </c>
      <c r="B28" s="2" t="inlineStr">
        <is>
          <t>Linear baselines (Lewellen FM, ridge, ENet, PLS) are included.</t>
        </is>
      </c>
      <c r="C28" s="3" t="inlineStr">
        <is>
          <t>Not started</t>
        </is>
      </c>
      <c r="D28" s="2" t="inlineStr"/>
      <c r="E28" s="2" t="inlineStr"/>
    </row>
    <row r="29">
      <c r="A29" s="2" t="inlineStr">
        <is>
          <t>D. Benchmarks</t>
        </is>
      </c>
      <c r="B29" s="2" t="inlineStr">
        <is>
          <t>Strongest published implementable benchmarks are included (JKMP Portfolio-ML from authors' code; DMNU linear PPP).</t>
        </is>
      </c>
      <c r="C29" s="3" t="inlineStr">
        <is>
          <t>Not started</t>
        </is>
      </c>
      <c r="D29" s="2" t="inlineStr"/>
      <c r="E29" s="2" t="inlineStr"/>
    </row>
    <row r="30">
      <c r="A30" s="2" t="inlineStr">
        <is>
          <t>D. Benchmarks</t>
        </is>
      </c>
      <c r="B30" s="2" t="inlineStr">
        <is>
          <t>Benchmarks receive the same tuning budget and cost model as proposed cells.</t>
        </is>
      </c>
      <c r="C30" s="3" t="inlineStr">
        <is>
          <t>Not started</t>
        </is>
      </c>
      <c r="D30" s="2" t="inlineStr"/>
      <c r="E30" s="2" t="inlineStr"/>
    </row>
    <row r="31">
      <c r="A31" s="2" t="inlineStr">
        <is>
          <t>D. Benchmarks</t>
        </is>
      </c>
      <c r="B31" s="2" t="inlineStr">
        <is>
          <t>1/N and market portfolios are reported .</t>
        </is>
      </c>
      <c r="C31" s="3" t="inlineStr">
        <is>
          <t>Not started</t>
        </is>
      </c>
      <c r="D31" s="2" t="inlineStr"/>
      <c r="E31" s="2" t="inlineStr"/>
    </row>
    <row r="32">
      <c r="A32" s="2" t="inlineStr">
        <is>
          <t>D. Benchmarks</t>
        </is>
      </c>
      <c r="B32" s="2" t="inlineStr">
        <is>
          <t>Heuristic cost mitigation (banding) is compared .</t>
        </is>
      </c>
      <c r="C32" s="3" t="inlineStr">
        <is>
          <t>Not started</t>
        </is>
      </c>
      <c r="D32" s="2" t="inlineStr"/>
      <c r="E32" s="2" t="inlineStr"/>
    </row>
    <row r="33">
      <c r="A33" s="2" t="inlineStr">
        <is>
          <t>E. Portfolio construction, costs and capacity</t>
        </is>
      </c>
      <c r="B33" s="2" t="inlineStr">
        <is>
          <t>Net-of-cost results are primary; gross results are secondary.</t>
        </is>
      </c>
      <c r="C33" s="3" t="inlineStr">
        <is>
          <t>Not started</t>
        </is>
      </c>
      <c r="D33" s="2" t="inlineStr"/>
      <c r="E33" s="2" t="inlineStr"/>
    </row>
    <row r="34">
      <c r="A34" s="2" t="inlineStr">
        <is>
          <t>E. Portfolio construction, costs and capacity</t>
        </is>
      </c>
      <c r="B34" s="2" t="inlineStr">
        <is>
          <t>Cost model components (spread, impact, commission, borrow) and calibration sources are stated.</t>
        </is>
      </c>
      <c r="C34" s="3" t="inlineStr">
        <is>
          <t>Not started</t>
        </is>
      </c>
      <c r="D34" s="2" t="inlineStr"/>
      <c r="E34" s="2" t="inlineStr"/>
    </row>
    <row r="35">
      <c r="A35" s="2" t="inlineStr">
        <is>
          <t>E. Portfolio construction, costs and capacity</t>
        </is>
      </c>
      <c r="B35" s="2" t="inlineStr">
        <is>
          <t>Sensitivity to cost multipliers (0.5×-3×) and alternative spread estimators is shown.</t>
        </is>
      </c>
      <c r="C35" s="3" t="inlineStr">
        <is>
          <t>Not started</t>
        </is>
      </c>
      <c r="D35" s="2" t="inlineStr"/>
      <c r="E35" s="2" t="inlineStr"/>
    </row>
    <row r="36">
      <c r="A36" s="2" t="inlineStr">
        <is>
          <t>E. Portfolio construction, costs and capacity</t>
        </is>
      </c>
      <c r="B36" s="2" t="inlineStr">
        <is>
          <t>AUM grid and break-even AUM (capacity) are reported.</t>
        </is>
      </c>
      <c r="C36" s="3" t="inlineStr">
        <is>
          <t>Not started</t>
        </is>
      </c>
      <c r="D36" s="2" t="inlineStr"/>
      <c r="E36" s="2" t="inlineStr"/>
    </row>
    <row r="37">
      <c r="A37" s="2" t="inlineStr">
        <is>
          <t>E. Portfolio construction, costs and capacity</t>
        </is>
      </c>
      <c r="B37" s="2" t="inlineStr">
        <is>
          <t>Turnover, holding period and cost drag are reported for every strategy.</t>
        </is>
      </c>
      <c r="C37" s="3" t="inlineStr">
        <is>
          <t>Not started</t>
        </is>
      </c>
      <c r="D37" s="2" t="inlineStr"/>
      <c r="E37" s="2" t="inlineStr"/>
    </row>
    <row r="38">
      <c r="A38" s="2" t="inlineStr">
        <is>
          <t>E. Portfolio construction, costs and capacity</t>
        </is>
      </c>
      <c r="B38" s="2" t="inlineStr">
        <is>
          <t>Constraint set (neutralities, position/trade/participation limits) is identical across cells.</t>
        </is>
      </c>
      <c r="C38" s="3" t="inlineStr">
        <is>
          <t>Not started</t>
        </is>
      </c>
      <c r="D38" s="2" t="inlineStr"/>
      <c r="E38" s="2" t="inlineStr"/>
    </row>
    <row r="39">
      <c r="A39" s="2" t="inlineStr">
        <is>
          <t>E. Portfolio construction, costs and capacity</t>
        </is>
      </c>
      <c r="B39" s="2" t="inlineStr">
        <is>
          <t>Execution lag (≥ 1 trading day) is enforced.</t>
        </is>
      </c>
      <c r="C39" s="3" t="inlineStr">
        <is>
          <t>Not started</t>
        </is>
      </c>
      <c r="D39" s="2" t="inlineStr"/>
      <c r="E39" s="2" t="inlineStr"/>
    </row>
    <row r="40">
      <c r="A40" s="2" t="inlineStr">
        <is>
          <t>E. Portfolio construction, costs and capacity</t>
        </is>
      </c>
      <c r="B40" s="2" t="inlineStr">
        <is>
          <t>Short-leg contribution and borrow-cost treatment are disclosed.</t>
        </is>
      </c>
      <c r="C40" s="3" t="inlineStr">
        <is>
          <t>Not started</t>
        </is>
      </c>
      <c r="D40" s="2" t="inlineStr"/>
      <c r="E40" s="2" t="inlineStr"/>
    </row>
    <row r="41">
      <c r="A41" s="2" t="inlineStr">
        <is>
          <t>E. Portfolio construction, costs and capacity</t>
        </is>
      </c>
      <c r="B41" s="2" t="inlineStr">
        <is>
          <t>Long-only variant reported.</t>
        </is>
      </c>
      <c r="C41" s="3" t="inlineStr">
        <is>
          <t>Not started</t>
        </is>
      </c>
      <c r="D41" s="2" t="inlineStr"/>
      <c r="E41" s="2" t="inlineStr"/>
    </row>
    <row r="42">
      <c r="A42" s="2" t="inlineStr">
        <is>
          <t>F. Statistical inference</t>
        </is>
      </c>
      <c r="B42" s="2" t="inlineStr">
        <is>
          <t>HAC (Newey-West) t-stats for means and alphas.</t>
        </is>
      </c>
      <c r="C42" s="3" t="inlineStr">
        <is>
          <t>Not started</t>
        </is>
      </c>
      <c r="D42" s="2" t="inlineStr"/>
      <c r="E42" s="2" t="inlineStr"/>
    </row>
    <row r="43">
      <c r="A43" s="2" t="inlineStr">
        <is>
          <t>F. Statistical inference</t>
        </is>
      </c>
      <c r="B43" s="2" t="inlineStr">
        <is>
          <t>Sharpe-ratio differences tested with Ledoit-Wolf (2008) bootstrap.</t>
        </is>
      </c>
      <c r="C43" s="3" t="inlineStr">
        <is>
          <t>Not started</t>
        </is>
      </c>
      <c r="D43" s="2" t="inlineStr"/>
      <c r="E43" s="2" t="inlineStr"/>
    </row>
    <row r="44">
      <c r="A44" s="2" t="inlineStr">
        <is>
          <t>F. Statistical inference</t>
        </is>
      </c>
      <c r="B44" s="2" t="inlineStr">
        <is>
          <t>Nested forecast comparisons with Clark-West; others with Diebold-Mariano.</t>
        </is>
      </c>
      <c r="C44" s="3" t="inlineStr">
        <is>
          <t>Not started</t>
        </is>
      </c>
      <c r="D44" s="2" t="inlineStr"/>
      <c r="E44" s="2" t="inlineStr"/>
    </row>
    <row r="45">
      <c r="A45" s="2" t="inlineStr">
        <is>
          <t>F. Statistical inference</t>
        </is>
      </c>
      <c r="B45" s="2" t="inlineStr">
        <is>
          <t>SPA and Reality Check versus the strongest benchmark; StepM for which cells win; MCS reported.</t>
        </is>
      </c>
      <c r="C45" s="3" t="inlineStr">
        <is>
          <t>Not started</t>
        </is>
      </c>
      <c r="D45" s="2" t="inlineStr"/>
      <c r="E45" s="2" t="inlineStr"/>
    </row>
    <row r="46">
      <c r="A46" s="2" t="inlineStr">
        <is>
          <t>F. Statistical inference</t>
        </is>
      </c>
      <c r="B46" s="2" t="inlineStr">
        <is>
          <t>Deflated Sharpe ratio uses the logged trial count; PBO via CSCV reported.</t>
        </is>
      </c>
      <c r="C46" s="3" t="inlineStr">
        <is>
          <t>Not started</t>
        </is>
      </c>
      <c r="D46" s="2" t="inlineStr"/>
      <c r="E46" s="2" t="inlineStr"/>
    </row>
    <row r="47">
      <c r="A47" s="2" t="inlineStr">
        <is>
          <t>F. Statistical inference</t>
        </is>
      </c>
      <c r="B47" s="2" t="inlineStr">
        <is>
          <t>Factorial effects and Shapley attributions have bootstrap confidence intervals.</t>
        </is>
      </c>
      <c r="C47" s="3" t="inlineStr">
        <is>
          <t>Not started</t>
        </is>
      </c>
      <c r="D47" s="2" t="inlineStr"/>
      <c r="E47" s="2" t="inlineStr"/>
    </row>
    <row r="48">
      <c r="A48" s="2" t="inlineStr">
        <is>
          <t>F. Statistical inference</t>
        </is>
      </c>
      <c r="B48" s="2" t="inlineStr">
        <is>
          <t>Alphas versus FF5+UMD, q5 and JKP themes (net of costs).</t>
        </is>
      </c>
      <c r="C48" s="3" t="inlineStr">
        <is>
          <t>Not started</t>
        </is>
      </c>
      <c r="D48" s="2" t="inlineStr"/>
      <c r="E48" s="2" t="inlineStr"/>
    </row>
    <row r="49">
      <c r="A49" s="2" t="inlineStr">
        <is>
          <t>F. Statistical inference</t>
        </is>
      </c>
      <c r="B49" s="2" t="inlineStr">
        <is>
          <t>Multiple theme/signal claims are FDR-controlled.</t>
        </is>
      </c>
      <c r="C49" s="3" t="inlineStr">
        <is>
          <t>Not started</t>
        </is>
      </c>
      <c r="D49" s="2" t="inlineStr"/>
      <c r="E49" s="2" t="inlineStr"/>
    </row>
    <row r="50">
      <c r="A50" s="2" t="inlineStr">
        <is>
          <t>F. Statistical inference</t>
        </is>
      </c>
      <c r="B50" s="2" t="inlineStr">
        <is>
          <t>Non-standard errors across the pre-declared multiverse are reported.</t>
        </is>
      </c>
      <c r="C50" s="3" t="inlineStr">
        <is>
          <t>Not started</t>
        </is>
      </c>
      <c r="D50" s="2" t="inlineStr"/>
      <c r="E50" s="2" t="inlineStr"/>
    </row>
    <row r="51">
      <c r="A51" s="2" t="inlineStr">
        <is>
          <t>G. Robustness</t>
        </is>
      </c>
      <c r="B51" s="2" t="inlineStr">
        <is>
          <t>Subperiods, including pre/post decimalisation and post-2008.</t>
        </is>
      </c>
      <c r="C51" s="3" t="inlineStr">
        <is>
          <t>Not started</t>
        </is>
      </c>
      <c r="D51" s="2" t="inlineStr"/>
      <c r="E51" s="2" t="inlineStr"/>
    </row>
    <row r="52">
      <c r="A52" s="2" t="inlineStr">
        <is>
          <t>G. Robustness</t>
        </is>
      </c>
      <c r="B52" s="2" t="inlineStr">
        <is>
          <t>Universes: all stocks, ex-micro, top-500.</t>
        </is>
      </c>
      <c r="C52" s="3" t="inlineStr">
        <is>
          <t>Not started</t>
        </is>
      </c>
      <c r="D52" s="2" t="inlineStr"/>
      <c r="E52" s="2" t="inlineStr"/>
    </row>
    <row r="53">
      <c r="A53" s="2" t="inlineStr">
        <is>
          <t>G. Robustness</t>
        </is>
      </c>
      <c r="B53" s="2" t="inlineStr">
        <is>
          <t>Horizons and rebalancing frequency.</t>
        </is>
      </c>
      <c r="C53" s="3" t="inlineStr">
        <is>
          <t>Not started</t>
        </is>
      </c>
      <c r="D53" s="2" t="inlineStr"/>
      <c r="E53" s="2" t="inlineStr"/>
    </row>
    <row r="54">
      <c r="A54" s="2" t="inlineStr">
        <is>
          <t>G. Robustness</t>
        </is>
      </c>
      <c r="B54" s="2" t="inlineStr">
        <is>
          <t>Risk-model alternatives.</t>
        </is>
      </c>
      <c r="C54" s="3" t="inlineStr">
        <is>
          <t>Not started</t>
        </is>
      </c>
      <c r="D54" s="2" t="inlineStr"/>
      <c r="E54" s="2" t="inlineStr"/>
    </row>
    <row r="55">
      <c r="A55" s="2" t="inlineStr">
        <is>
          <t>G. Robustness</t>
        </is>
      </c>
      <c r="B55" s="2" t="inlineStr">
        <is>
          <t>Rolling vs expanding windows.</t>
        </is>
      </c>
      <c r="C55" s="3" t="inlineStr">
        <is>
          <t>Not started</t>
        </is>
      </c>
      <c r="D55" s="2" t="inlineStr"/>
      <c r="E55" s="2" t="inlineStr"/>
    </row>
    <row r="56">
      <c r="A56" s="2" t="inlineStr">
        <is>
          <t>G. Robustness</t>
        </is>
      </c>
      <c r="B56" s="2" t="inlineStr">
        <is>
          <t>Placebo (shuffled) states.</t>
        </is>
      </c>
      <c r="C56" s="3" t="inlineStr">
        <is>
          <t>Not started</t>
        </is>
      </c>
      <c r="D56" s="2" t="inlineStr"/>
      <c r="E56" s="2" t="inlineStr"/>
    </row>
    <row r="57">
      <c r="A57" s="2" t="inlineStr">
        <is>
          <t>G. Robustness</t>
        </is>
      </c>
      <c r="B57" s="2" t="inlineStr">
        <is>
          <t>Publication-gated signal library.</t>
        </is>
      </c>
      <c r="C57" s="3" t="inlineStr">
        <is>
          <t>Not started</t>
        </is>
      </c>
      <c r="D57" s="2" t="inlineStr"/>
      <c r="E57" s="2" t="inlineStr"/>
    </row>
    <row r="58">
      <c r="A58" s="2" t="inlineStr">
        <is>
          <t>G. Robustness</t>
        </is>
      </c>
      <c r="B58" s="2" t="inlineStr">
        <is>
          <t>International (developed ex-US) evidence or a stated reason for exclusion.</t>
        </is>
      </c>
      <c r="C58" s="3" t="inlineStr">
        <is>
          <t>Not started</t>
        </is>
      </c>
      <c r="D58" s="2" t="inlineStr"/>
      <c r="E58" s="2" t="inlineStr"/>
    </row>
    <row r="59">
      <c r="A59" s="2" t="inlineStr">
        <is>
          <t>G. Robustness</t>
        </is>
      </c>
      <c r="B59" s="2" t="inlineStr">
        <is>
          <t>Hyperparameter perturbations.</t>
        </is>
      </c>
      <c r="C59" s="3" t="inlineStr">
        <is>
          <t>Not started</t>
        </is>
      </c>
      <c r="D59" s="2" t="inlineStr"/>
      <c r="E59" s="2" t="inlineStr"/>
    </row>
    <row r="60">
      <c r="A60" s="2" t="inlineStr">
        <is>
          <t>H. Economic interpretation</t>
        </is>
      </c>
      <c r="B60" s="2" t="inlineStr">
        <is>
          <t>Economic feature importance (net utility loss from dropping themes).</t>
        </is>
      </c>
      <c r="C60" s="3" t="inlineStr">
        <is>
          <t>Not started</t>
        </is>
      </c>
      <c r="D60" s="2" t="inlineStr"/>
      <c r="E60" s="2" t="inlineStr"/>
    </row>
    <row r="61">
      <c r="A61" s="2" t="inlineStr">
        <is>
          <t>H. Economic interpretation</t>
        </is>
      </c>
      <c r="B61" s="2" t="inlineStr">
        <is>
          <t>SHAP/ALE interpretation for prediction cells, with correlated-feature caveats.</t>
        </is>
      </c>
      <c r="C61" s="3" t="inlineStr">
        <is>
          <t>Not started</t>
        </is>
      </c>
      <c r="D61" s="2" t="inlineStr"/>
      <c r="E61" s="2" t="inlineStr"/>
    </row>
    <row r="62">
      <c r="A62" s="2" t="inlineStr">
        <is>
          <t>H. Economic interpretation</t>
        </is>
      </c>
      <c r="B62" s="2" t="inlineStr">
        <is>
          <t>Implied state-dependent weights are linked to DM2016, SYY2012 and CDS2020 predictions.</t>
        </is>
      </c>
      <c r="C62" s="3" t="inlineStr">
        <is>
          <t>Not started</t>
        </is>
      </c>
      <c r="D62" s="2" t="inlineStr"/>
      <c r="E62" s="2" t="inlineStr"/>
    </row>
    <row r="63">
      <c r="A63" s="2" t="inlineStr">
        <is>
          <t>H. Economic interpretation</t>
        </is>
      </c>
      <c r="B63" s="2" t="inlineStr">
        <is>
          <t>Limits-to-arbitrage tilts (IVOL, illiquidity, size, distress) by cell.</t>
        </is>
      </c>
      <c r="C63" s="3" t="inlineStr">
        <is>
          <t>Not started</t>
        </is>
      </c>
      <c r="D63" s="2" t="inlineStr"/>
      <c r="E63" s="2" t="inlineStr"/>
    </row>
    <row r="64">
      <c r="A64" s="2" t="inlineStr">
        <is>
          <t>H. Economic interpretation</t>
        </is>
      </c>
      <c r="B64" s="2" t="inlineStr">
        <is>
          <t>A clear answer to "why does it work (or fail)?" appears in the introduction.</t>
        </is>
      </c>
      <c r="C64" s="3" t="inlineStr">
        <is>
          <t>Not started</t>
        </is>
      </c>
      <c r="D64" s="2" t="inlineStr"/>
      <c r="E64" s="2" t="inlineStr"/>
    </row>
    <row r="65">
      <c r="A65" s="2" t="inlineStr">
        <is>
          <t>I. Reproducibility and presentation</t>
        </is>
      </c>
      <c r="B65" s="2" t="inlineStr">
        <is>
          <t>Replication package: code, environment file, README, pseudo-data for licensed inputs (JF/RFS/MS policies).</t>
        </is>
      </c>
      <c r="C65" s="3" t="inlineStr">
        <is>
          <t>Not started</t>
        </is>
      </c>
      <c r="D65" s="2" t="inlineStr"/>
      <c r="E65" s="2" t="inlineStr"/>
    </row>
    <row r="66">
      <c r="A66" s="2" t="inlineStr">
        <is>
          <t>I. Reproducibility and presentation</t>
        </is>
      </c>
      <c r="B66" s="2" t="inlineStr">
        <is>
          <t>Figures readable in grayscale; tables have units and sample periods.</t>
        </is>
      </c>
      <c r="C66" s="3" t="inlineStr">
        <is>
          <t>Not started</t>
        </is>
      </c>
      <c r="D66" s="2" t="inlineStr"/>
      <c r="E66" s="2" t="inlineStr"/>
    </row>
    <row r="67">
      <c r="A67" s="2" t="inlineStr">
        <is>
          <t>I. Reproducibility and presentation</t>
        </is>
      </c>
      <c r="B67" s="2" t="inlineStr">
        <is>
          <t>The abstract states net-of-cost results and the holdout period.</t>
        </is>
      </c>
      <c r="C67" s="3" t="inlineStr">
        <is>
          <t>Not started</t>
        </is>
      </c>
      <c r="D67" s="2" t="inlineStr"/>
      <c r="E67" s="2" t="inlineStr"/>
    </row>
    <row r="68">
      <c r="A68" s="2" t="inlineStr">
        <is>
          <t>I. Reproducibility and presentation</t>
        </is>
      </c>
      <c r="B68" s="2" t="inlineStr">
        <is>
          <t>Internet appendix contains all robustness tables referenced.</t>
        </is>
      </c>
      <c r="C68" s="3" t="inlineStr">
        <is>
          <t>Not started</t>
        </is>
      </c>
      <c r="D68" s="2" t="inlineStr"/>
      <c r="E68" s="2" t="inlineStr"/>
    </row>
    <row r="69">
      <c r="A69" s="2" t="inlineStr">
        <is>
          <t>I. Reproducibility and presentation</t>
        </is>
      </c>
      <c r="B69" s="2" t="inlineStr">
        <is>
          <t>Limitations section covers cost-model uncertainty, US focus, and data licences.</t>
        </is>
      </c>
      <c r="C69" s="3" t="inlineStr">
        <is>
          <t>Not started</t>
        </is>
      </c>
      <c r="D69" s="2" t="inlineStr"/>
      <c r="E69" s="2" t="inlineStr"/>
    </row>
  </sheetData>
  <autoFilter ref="A4:E69"/>
  <conditionalFormatting sqref="C5:C69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C5:C69" showDropDown="0" showInputMessage="0" showErrorMessage="0" allowBlank="0" type="list">
      <formula1>"Not started,In progress,Done,N/A"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2026-09-18T21:06:31Z</dcterms:created>
  <dcterms:modified xmlns:dcterms="http://purl.org/dc/terms/" xmlns:xsi="http://www.w3.org/2001/XMLSchema-instance" xsi:type="dcterms:W3CDTF">2026-09-18T21:06:31Z</dcterms:modified>
</cp:coreProperties>
</file>