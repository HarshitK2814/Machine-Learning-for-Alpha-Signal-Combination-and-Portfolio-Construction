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as" sheetId="1" state="visible" r:id="rId1"/>
    <sheet xmlns:r="http://schemas.openxmlformats.org/officeDocument/2006/relationships" name="Weights" sheetId="2" state="visible" r:id="rId2"/>
    <sheet xmlns:r="http://schemas.openxmlformats.org/officeDocument/2006/relationships" name="Concept_Selection" sheetId="3" state="visible" r:id="rId3"/>
  </sheets>
  <definedNames>
    <definedName name="_xlnm._FilterDatabase" localSheetId="0" hidden="1">'Ideas'!$A$1:$Z$16</definedName>
    <definedName name="_xlnm._FilterDatabase" localSheetId="2" hidden="1">'Concept_Selection'!$A$1:$F$12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D366B"/>
      <sz val="14"/>
    </font>
    <font>
      <name val="Calibri"/>
      <i val="1"/>
      <color rgb="0052514E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84F95"/>
      </patternFill>
    </fill>
  </fills>
  <borders count="2">
    <border>
      <left/>
      <right/>
      <top/>
      <bottom/>
      <diagonal/>
    </border>
    <border>
      <bottom style="thin">
        <color rgb="00D9D8D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2">
    <dxf>
      <fill>
        <patternFill patternType="solid">
          <fgColor rgb="00D6F0DF"/>
        </patternFill>
      </fill>
    </dxf>
    <dxf>
      <fill>
        <patternFill patternType="solid">
          <fgColor rgb="00F8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4" customWidth="1" min="2" max="2"/>
    <col width="5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30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</cols>
  <sheetData>
    <row r="1" ht="34" customHeight="1">
      <c r="A1" s="1" t="inlineStr">
        <is>
          <t>Idea ID</t>
        </is>
      </c>
      <c r="B1" s="1" t="inlineStr">
        <is>
          <t>Idea (proposed title)</t>
        </is>
      </c>
      <c r="C1" s="1" t="inlineStr">
        <is>
          <t>Research Question</t>
        </is>
      </c>
      <c r="D1" s="1" t="inlineStr">
        <is>
          <t>Novelty</t>
        </is>
      </c>
      <c r="E1" s="1" t="inlineStr">
        <is>
          <t>Data Feasibility</t>
        </is>
      </c>
      <c r="F1" s="1" t="inlineStr">
        <is>
          <t>Implementation Difficulty</t>
        </is>
      </c>
      <c r="G1" s="1" t="inlineStr">
        <is>
          <t>Academic Importance</t>
        </is>
      </c>
      <c r="H1" s="1" t="inlineStr">
        <is>
          <t>Practical Importance</t>
        </is>
      </c>
      <c r="I1" s="1" t="inlineStr">
        <is>
          <t>Publication Potential</t>
        </is>
      </c>
      <c r="J1" s="1" t="inlineStr">
        <is>
          <t>Risk</t>
        </is>
      </c>
      <c r="K1" s="1" t="inlineStr">
        <is>
          <t>Overall Score (formula)</t>
        </is>
      </c>
      <c r="L1" s="1" t="inlineStr">
        <is>
          <t>Rank (formula)</t>
        </is>
      </c>
      <c r="M1" s="1" t="inlineStr">
        <is>
          <t>Target Journals</t>
        </is>
      </c>
      <c r="N1" s="1" t="inlineStr">
        <is>
          <t>Hypothesis</t>
        </is>
      </c>
      <c r="O1" s="1" t="inlineStr">
        <is>
          <t>Existing Literature</t>
        </is>
      </c>
      <c r="P1" s="1" t="inlineStr">
        <is>
          <t>What Is Solved</t>
        </is>
      </c>
      <c r="Q1" s="1" t="inlineStr">
        <is>
          <t>What Remains Unsolved</t>
        </is>
      </c>
      <c r="R1" s="1" t="inlineStr">
        <is>
          <t>Exact Novelty</t>
        </is>
      </c>
      <c r="S1" s="1" t="inlineStr">
        <is>
          <t>Data Required</t>
        </is>
      </c>
      <c r="T1" s="1" t="inlineStr">
        <is>
          <t>Signals Required</t>
        </is>
      </c>
      <c r="U1" s="1" t="inlineStr">
        <is>
          <t>ML Methodology</t>
        </is>
      </c>
      <c r="V1" s="1" t="inlineStr">
        <is>
          <t>Portfolio Methodology</t>
        </is>
      </c>
      <c r="W1" s="1" t="inlineStr">
        <is>
          <t>Benchmark</t>
        </is>
      </c>
      <c r="X1" s="1" t="inlineStr">
        <is>
          <t>Experiments</t>
        </is>
      </c>
      <c r="Y1" s="1" t="inlineStr">
        <is>
          <t>Evaluation Metrics</t>
        </is>
      </c>
      <c r="Z1" s="1" t="inlineStr">
        <is>
          <t>Expected Difficulties</t>
        </is>
      </c>
    </row>
    <row r="2">
      <c r="A2" s="2" t="inlineStr">
        <is>
          <t>I01</t>
        </is>
      </c>
      <c r="B2" s="2" t="inlineStr">
        <is>
          <t>Where Does Machine-Learning Alpha Come From After Trading Costs? Nonlinearity, State Dependence and Cost-Aware Learning in Signal Combination</t>
        </is>
      </c>
      <c r="C2" s="2" t="inlineStr">
        <is>
          <t>How much of the net-of-cost value of ML signal combination is due to (a) nonlinear signal interactions, (b) state-dependent signal weights, (c) a cost-aware economic training objective, and (d) forecast-uncertainty shrinkage, and do these components interact?</t>
        </is>
      </c>
      <c r="D2" s="3" t="n">
        <v>8</v>
      </c>
      <c r="E2" s="3" t="n">
        <v>8</v>
      </c>
      <c r="F2" s="3" t="n">
        <v>7</v>
      </c>
      <c r="G2" s="3" t="n">
        <v>9</v>
      </c>
      <c r="H2" s="3" t="n">
        <v>9</v>
      </c>
      <c r="I2" s="3" t="n">
        <v>8</v>
      </c>
      <c r="J2" s="3" t="n">
        <v>4</v>
      </c>
      <c r="K2" s="3">
        <f>ROUND(D2*Weights!$B$4+G2*Weights!$B$5+H2*Weights!$B$6+I2*Weights!$B$7+E2*Weights!$B$8+(10-F2)*Weights!$B$9+(10-J2)*Weights!$B$10,2)</f>
        <v/>
      </c>
      <c r="L2" s="3">
        <f>RANK(K2,$K$2:$K$16)</f>
        <v/>
      </c>
      <c r="M2" s="2" t="inlineStr">
        <is>
          <t>RFS (stretch); JFQA, Management Science (target); Quantitative Finance, JFM, JBF (backup)</t>
        </is>
      </c>
      <c r="N2" s="2" t="inlineStr">
        <is>
          <t>Nonlinearity mainly raises gross IC; most net value comes from the cost-aware objective; state dependence adds net value only when trading costs are internalised (interaction effect).</t>
        </is>
      </c>
      <c r="O2" s="2" t="inlineStr">
        <is>
          <t>GKX2020; ACM2023; JKMP2026; DMNU2020; SWZ2023; DMU2024; NRRZ2024; CHK2024; AHV2023; LMNS2025</t>
        </is>
      </c>
      <c r="P2" s="2" t="inlineStr">
        <is>
          <t>ML beats linear gross (GKX2020); ML alpha fragile to restrictions/costs (ACM2023, BHHH2023); cost-aware ML weight learning improves the implementable frontier (JKMP2026); conditional multifactor weights survive costs at factor level (DMU2024).</t>
        </is>
      </c>
      <c r="Q2" s="2" t="inlineStr">
        <is>
          <t>No unified, nested attribution of net value to nonlinearity vs conditioning vs objective vs uncertainty on one signal library, one cost model and one inference framework [inference from literature search; re-check before submission].</t>
        </is>
      </c>
      <c r="R2" s="2" t="inlineStr">
        <is>
          <t>Factorial (2x2x2x2) nested design + multiple-testing-robust attribution (SPA/MCS, DSR, PBO) + economic mechanism tests (limits to arbitrage, liquidity regimes).</t>
        </is>
      </c>
      <c r="S2" s="2" t="inlineStr">
        <is>
          <t>CRSP, Compustat (WRDS), JKP characteristics or Open Source AP signals, FF/q factors, FRED/Welch-Goyal state variables, spread estimates</t>
        </is>
      </c>
      <c r="T2" s="2" t="inlineStr">
        <is>
          <t>~150 published characteristics in 13 themes; liquidity/cost features</t>
        </is>
      </c>
      <c r="U2" s="2" t="inlineStr">
        <is>
          <t>Ridge; LightGBM; NN ensemble; gated mixture-of-experts; Portfolio-ML-style economic loss</t>
        </is>
      </c>
      <c r="V2" s="2" t="inlineStr">
        <is>
          <t>Common TC-aware mean-variance optimiser with partial adjustment (GP2013-style) and constraints</t>
        </is>
      </c>
      <c r="W2" s="2" t="inlineStr">
        <is>
          <t>1/N signals, IC-weighted, Lewellen FM, KNS SDF, GKX NN, JKMP Portfolio-ML, DMNU linear PPP</t>
        </is>
      </c>
      <c r="X2" s="2" t="inlineStr">
        <is>
          <t>16 factorial cells x 3 AUM levels x robustness grid</t>
        </is>
      </c>
      <c r="Y2" s="2" t="inlineStr">
        <is>
          <t>IC/RankIC, OOS R2, gross/net Sharpe, turnover, capacity, net alpha, CE utility</t>
        </is>
      </c>
      <c r="Z2" s="2" t="inlineStr">
        <is>
          <t>Compute; honest trial counting; cost calibration; avoiding benchmark underpowering</t>
        </is>
      </c>
    </row>
    <row r="3">
      <c r="A3" s="2" t="inlineStr">
        <is>
          <t>I02</t>
        </is>
      </c>
      <c r="B3" s="2" t="inlineStr">
        <is>
          <t>Forecasting Signal Efficacy: A Meta-Model for Dynamic Alpha Allocation under Decay and Crowding</t>
        </is>
      </c>
      <c r="C3" s="2" t="inlineStr">
        <is>
          <t>Can signal-level features (recent IC, publication age, turnover, valuation spread, crowding proxies, volatility) predict each signal's next-period net contribution, and does stock-level allocation on these forecasts beat static combination net of costs?</t>
        </is>
      </c>
      <c r="D3" s="3" t="n">
        <v>7</v>
      </c>
      <c r="E3" s="3" t="n">
        <v>8</v>
      </c>
      <c r="F3" s="3" t="n">
        <v>6</v>
      </c>
      <c r="G3" s="3" t="n">
        <v>7</v>
      </c>
      <c r="H3" s="3" t="n">
        <v>9</v>
      </c>
      <c r="I3" s="3" t="n">
        <v>7</v>
      </c>
      <c r="J3" s="3" t="n">
        <v>6</v>
      </c>
      <c r="K3" s="3">
        <f>ROUND(D3*Weights!$B$4+G3*Weights!$B$5+H3*Weights!$B$6+I3*Weights!$B$7+E3*Weights!$B$8+(10-F3)*Weights!$B$9+(10-J3)*Weights!$B$10,2)</f>
        <v/>
      </c>
      <c r="L3" s="3">
        <f>RANK(K3,$K$2:$K$16)</f>
        <v/>
      </c>
      <c r="M3" s="2" t="inlineStr">
        <is>
          <t>RAPS, JFQA (target); JBF, JEF, IJF (backup)</t>
        </is>
      </c>
      <c r="N3" s="2" t="inlineStr">
        <is>
          <t>Signal efficacy is predictable (factor momentum, valuation spreads) but the net benefit is concentrated in low-turnover signals.</t>
        </is>
      </c>
      <c r="O3" s="2" t="inlineStr">
        <is>
          <t>NRRZ2024; HKS2020; EL2022; KNNV2024; MP2016; CV2023</t>
        </is>
      </c>
      <c r="P3" s="2" t="inlineStr">
        <is>
          <t>Factor returns are timeable at portfolio level (NRRZ2024, HKS2020); signals decay post-publication (MP2016).</t>
        </is>
      </c>
      <c r="Q3" s="2" t="inlineStr">
        <is>
          <t>Timing information implemented at stock level with netting and costs; crowding measures inside the meta-model.</t>
        </is>
      </c>
      <c r="R3" s="2" t="inlineStr">
        <is>
          <t>Two-level model (signal-efficacy forecasts -&gt; stock-level cost-aware portfolio)</t>
        </is>
      </c>
      <c r="S3" s="2" t="inlineStr">
        <is>
          <t>Same as I01 + short interest, 13F ownership</t>
        </is>
      </c>
      <c r="T3" s="2" t="inlineStr">
        <is>
          <t>Same library + signal-level meta-features</t>
        </is>
      </c>
      <c r="U3" s="2" t="inlineStr">
        <is>
          <t>Panel GBDT/ridge on signal-month panel; hierarchical shrinkage</t>
        </is>
      </c>
      <c r="V3" s="2" t="inlineStr">
        <is>
          <t>TC-aware optimiser</t>
        </is>
      </c>
      <c r="W3" s="2" t="inlineStr">
        <is>
          <t>Static combination; NRRZ PLS timing; factor momentum</t>
        </is>
      </c>
      <c r="X3" s="2" t="inlineStr">
        <is>
          <t>Signal-month panel forecasting; allocation backtests</t>
        </is>
      </c>
      <c r="Y3" s="2" t="inlineStr">
        <is>
          <t>Signal-level R2; portfolio net Sharpe; turnover</t>
        </is>
      </c>
      <c r="Z3" s="2" t="inlineStr">
        <is>
          <t>Few independent time-series observations per signal; overfitting timing</t>
        </is>
      </c>
    </row>
    <row r="4">
      <c r="A4" s="2" t="inlineStr">
        <is>
          <t>I03</t>
        </is>
      </c>
      <c r="B4" s="2" t="inlineStr">
        <is>
          <t>Uncertainty-Aware Alpha Combination: Forecast Confidence, Robust Optimisation and Turnover</t>
        </is>
      </c>
      <c r="C4" s="2" t="inlineStr">
        <is>
          <t>Does using stock-level forecast uncertainty (deep ensembles, bootstrap standard errors) to shrink alpha and set robust-optimisation budgets improve net performance and reduce turnover?</t>
        </is>
      </c>
      <c r="D4" s="3" t="n">
        <v>6</v>
      </c>
      <c r="E4" s="3" t="n">
        <v>8</v>
      </c>
      <c r="F4" s="3" t="n">
        <v>6</v>
      </c>
      <c r="G4" s="3" t="n">
        <v>6</v>
      </c>
      <c r="H4" s="3" t="n">
        <v>8</v>
      </c>
      <c r="I4" s="3" t="n">
        <v>6</v>
      </c>
      <c r="J4" s="3" t="n">
        <v>5</v>
      </c>
      <c r="K4" s="3">
        <f>ROUND(D4*Weights!$B$4+G4*Weights!$B$5+H4*Weights!$B$6+I4*Weights!$B$7+E4*Weights!$B$8+(10-F4)*Weights!$B$9+(10-J4)*Weights!$B$10,2)</f>
        <v/>
      </c>
      <c r="L4" s="3">
        <f>RANK(K4,$K$2:$K$16)</f>
        <v/>
      </c>
      <c r="M4" s="2" t="inlineStr">
        <is>
          <t>Quantitative Finance, JFEc (target); JEF, EJOR (backup)</t>
        </is>
      </c>
      <c r="N4" s="2" t="inlineStr">
        <is>
          <t>Uncertainty shrinkage lowers turnover more than it lowers gross alpha, raising net Sharpe.</t>
        </is>
      </c>
      <c r="O4" s="2" t="inlineStr">
        <is>
          <t>LMNS2025; BS2022; GI2003; LPB2017; KZ2007</t>
        </is>
      </c>
      <c r="P4" s="2" t="inlineStr">
        <is>
          <t>Closed-form NN forecast SEs and uncertainty-averse portfolios (LMNS2025, working paper).</t>
        </is>
      </c>
      <c r="Q4" s="2" t="inlineStr">
        <is>
          <t>Interaction with trading costs and dynamic trading; comparison of uncertainty estimators in stock-level optimisation.</t>
        </is>
      </c>
      <c r="R4" s="2" t="inlineStr">
        <is>
          <t>Uncertainty -&gt; cost-aware robust optimiser; calibration of uncertainty to realised errors</t>
        </is>
      </c>
      <c r="S4" s="2" t="inlineStr">
        <is>
          <t>As I01</t>
        </is>
      </c>
      <c r="T4" s="2" t="inlineStr">
        <is>
          <t>As I01</t>
        </is>
      </c>
      <c r="U4" s="2" t="inlineStr">
        <is>
          <t>Deep ensembles, MC dropout, bootstrap SEs, conformal intervals</t>
        </is>
      </c>
      <c r="V4" s="2" t="inlineStr">
        <is>
          <t>Robust MVO with ellipsoidal uncertainty + TC</t>
        </is>
      </c>
      <c r="W4" s="2" t="inlineStr">
        <is>
          <t>Point forecasts; James-Stein alpha shrinkage; LMNS2025 method</t>
        </is>
      </c>
      <c r="X4" s="2" t="inlineStr">
        <is>
          <t>Estimator x optimiser grid</t>
        </is>
      </c>
      <c r="Y4" s="2" t="inlineStr">
        <is>
          <t>Calibration, net Sharpe, turnover</t>
        </is>
      </c>
      <c r="Z4" s="2" t="inlineStr">
        <is>
          <t>Closest prior art is very recent; risk of incremental contribution</t>
        </is>
      </c>
    </row>
    <row r="5">
      <c r="A5" s="2" t="inlineStr">
        <is>
          <t>I04</t>
        </is>
      </c>
      <c r="B5" s="2" t="inlineStr">
        <is>
          <t>Differentiable Cost-Aware Portfolio Layers for High-Dimensional Equity Signal Combination</t>
        </is>
      </c>
      <c r="C5" s="2" t="inlineStr">
        <is>
          <t>Can end-to-end training through a differentiable, constrained, cost-aware QP scale to 1,000+ stocks and beat two-stage predict-then-optimise net of costs?</t>
        </is>
      </c>
      <c r="D5" s="3" t="n">
        <v>7</v>
      </c>
      <c r="E5" s="3" t="n">
        <v>8</v>
      </c>
      <c r="F5" s="3" t="n">
        <v>9</v>
      </c>
      <c r="G5" s="3" t="n">
        <v>6</v>
      </c>
      <c r="H5" s="3" t="n">
        <v>7</v>
      </c>
      <c r="I5" s="3" t="n">
        <v>6</v>
      </c>
      <c r="J5" s="3" t="n">
        <v>7</v>
      </c>
      <c r="K5" s="3">
        <f>ROUND(D5*Weights!$B$4+G5*Weights!$B$5+H5*Weights!$B$6+I5*Weights!$B$7+E5*Weights!$B$8+(10-F5)*Weights!$B$9+(10-J5)*Weights!$B$10,2)</f>
        <v/>
      </c>
      <c r="L5" s="3">
        <f>RANK(K5,$K$2:$K$16)</f>
        <v/>
      </c>
      <c r="M5" s="2" t="inlineStr">
        <is>
          <t>Management Science, Operations Research, INFORMS JOC (target); QF, EJOR (backup)</t>
        </is>
      </c>
      <c r="N5" s="2" t="inlineStr">
        <is>
          <t>End-to-end training helps most when constraints bind and costs are high.</t>
        </is>
      </c>
      <c r="O5" s="2" t="inlineStr">
        <is>
          <t>BK2023; CI2023; ULM2024; EG2022; AAB2019; JKMP2026</t>
        </is>
      </c>
      <c r="P5" s="2" t="inlineStr">
        <is>
          <t>End-to-end MVO on small universes (BK2023, ULM2024); decision-focused losses (EG2022).</t>
        </is>
      </c>
      <c r="Q5" s="2" t="inlineStr">
        <is>
          <t>Large cross-sections with realistic constraints and costs; stability.</t>
        </is>
      </c>
      <c r="R5" s="2" t="inlineStr">
        <is>
          <t>Scalable implicit differentiation with factor-structured covariance and TC</t>
        </is>
      </c>
      <c r="S5" s="2" t="inlineStr">
        <is>
          <t>As I01</t>
        </is>
      </c>
      <c r="T5" s="2" t="inlineStr">
        <is>
          <t>As I01</t>
        </is>
      </c>
      <c r="U5" s="2" t="inlineStr">
        <is>
          <t>NN signal combiner + differentiable QP</t>
        </is>
      </c>
      <c r="V5" s="2" t="inlineStr">
        <is>
          <t>Differentiable TC-aware QP</t>
        </is>
      </c>
      <c r="W5" s="2" t="inlineStr">
        <is>
          <t>Two-stage; JKMP2026</t>
        </is>
      </c>
      <c r="X5" s="2" t="inlineStr">
        <is>
          <t>Scalability; net performance</t>
        </is>
      </c>
      <c r="Y5" s="2" t="inlineStr">
        <is>
          <t>Net utility, runtime, stability</t>
        </is>
      </c>
      <c r="Z5" s="2" t="inlineStr">
        <is>
          <t>Compute, gradient instability, local optima</t>
        </is>
      </c>
    </row>
    <row r="6">
      <c r="A6" s="2" t="inlineStr">
        <is>
          <t>I05</t>
        </is>
      </c>
      <c r="B6" s="2" t="inlineStr">
        <is>
          <t>Regime-Gated Mixture-of-Experts for Alpha Signal Combination</t>
        </is>
      </c>
      <c r="C6" s="2" t="inlineStr">
        <is>
          <t>Do gated experts conditioned on market states (volatility, liquidity, sentiment, momentum-crash states) outperform global models net of costs?</t>
        </is>
      </c>
      <c r="D6" s="3" t="n">
        <v>6</v>
      </c>
      <c r="E6" s="3" t="n">
        <v>8</v>
      </c>
      <c r="F6" s="3" t="n">
        <v>7</v>
      </c>
      <c r="G6" s="3" t="n">
        <v>5</v>
      </c>
      <c r="H6" s="3" t="n">
        <v>8</v>
      </c>
      <c r="I6" s="3" t="n">
        <v>6</v>
      </c>
      <c r="J6" s="3" t="n">
        <v>7</v>
      </c>
      <c r="K6" s="3">
        <f>ROUND(D6*Weights!$B$4+G6*Weights!$B$5+H6*Weights!$B$6+I6*Weights!$B$7+E6*Weights!$B$8+(10-F6)*Weights!$B$9+(10-J6)*Weights!$B$10,2)</f>
        <v/>
      </c>
      <c r="L6" s="3">
        <f>RANK(K6,$K$2:$K$16)</f>
        <v/>
      </c>
      <c r="M6" s="2" t="inlineStr">
        <is>
          <t>QF, JBF, JEF (target)</t>
        </is>
      </c>
      <c r="N6" s="2" t="inlineStr">
        <is>
          <t>Gating helps in crash/illiquid states (momentum, short-leg anomalies) but adds turnover.</t>
        </is>
      </c>
      <c r="O6" s="2" t="inlineStr">
        <is>
          <t>CPZ2024; DM2016; SYY2012; CDS2020; SYM2025; JJNH1991</t>
        </is>
      </c>
      <c r="P6" s="2" t="inlineStr">
        <is>
          <t>Anomalies are state-dependent (SYY2012, MPR2026); momentum crashes are predictable (DM2016).</t>
        </is>
      </c>
      <c r="Q6" s="2" t="inlineStr">
        <is>
          <t>Learned gating for many signals with costs.</t>
        </is>
      </c>
      <c r="R6" s="2" t="inlineStr">
        <is>
          <t>MoE with economically interpretable gates</t>
        </is>
      </c>
      <c r="S6" s="2" t="inlineStr">
        <is>
          <t>As I01 + state variables</t>
        </is>
      </c>
      <c r="T6" s="2" t="inlineStr">
        <is>
          <t>As I01</t>
        </is>
      </c>
      <c r="U6" s="2" t="inlineStr">
        <is>
          <t>MoE, jump-model regimes</t>
        </is>
      </c>
      <c r="V6" s="2" t="inlineStr">
        <is>
          <t>TC-aware optimiser</t>
        </is>
      </c>
      <c r="W6" s="2" t="inlineStr">
        <is>
          <t>Global GBDT/NN with state interactions</t>
        </is>
      </c>
      <c r="X6" s="2" t="inlineStr">
        <is>
          <t>Gate variants; placebo regimes</t>
        </is>
      </c>
      <c r="Y6" s="2" t="inlineStr">
        <is>
          <t>Net Sharpe; regime-conditional IC</t>
        </is>
      </c>
      <c r="Z6" s="2" t="inlineStr">
        <is>
          <t>Few regime episodes; overfitting</t>
        </is>
      </c>
    </row>
    <row r="7">
      <c r="A7" s="2" t="inlineStr">
        <is>
          <t>I06</t>
        </is>
      </c>
      <c r="B7" s="2" t="inlineStr">
        <is>
          <t>Learning Signal Decay: Horizon-Aware Combination with Aim Portfolios</t>
        </is>
      </c>
      <c r="C7" s="2" t="inlineStr">
        <is>
          <t>Can ML estimate signal-specific alpha term structures and embed them in Garleanu-Pedersen aim portfolios to reduce costs?</t>
        </is>
      </c>
      <c r="D7" s="3" t="n">
        <v>5</v>
      </c>
      <c r="E7" s="3" t="n">
        <v>8</v>
      </c>
      <c r="F7" s="3" t="n">
        <v>6</v>
      </c>
      <c r="G7" s="3" t="n">
        <v>5</v>
      </c>
      <c r="H7" s="3" t="n">
        <v>8</v>
      </c>
      <c r="I7" s="3" t="n">
        <v>5</v>
      </c>
      <c r="J7" s="3" t="n">
        <v>5</v>
      </c>
      <c r="K7" s="3">
        <f>ROUND(D7*Weights!$B$4+G7*Weights!$B$5+H7*Weights!$B$6+I7*Weights!$B$7+E7*Weights!$B$8+(10-F7)*Weights!$B$9+(10-J7)*Weights!$B$10,2)</f>
        <v/>
      </c>
      <c r="L7" s="3">
        <f>RANK(K7,$K$2:$K$16)</f>
        <v/>
      </c>
      <c r="M7" s="2" t="inlineStr">
        <is>
          <t>QF, JFM</t>
        </is>
      </c>
      <c r="N7" s="2" t="inlineStr">
        <is>
          <t>Weighting by persistence cuts turnover without sacrificing gross alpha.</t>
        </is>
      </c>
      <c r="O7" s="2" t="inlineStr">
        <is>
          <t>GP2013; BHHH2023; JKMP2026</t>
        </is>
      </c>
      <c r="P7" s="2" t="inlineStr">
        <is>
          <t>Theory (GP2013); horizon matters for ML (BHHH2023); multi-horizon forecasts inside cost-aware portfolios (JKMP2026).</t>
        </is>
      </c>
      <c r="Q7" s="2" t="inlineStr">
        <is>
          <t>Explicit learned decay per signal/stock and its interpretability [inference].</t>
        </is>
      </c>
      <c r="R7" s="2" t="inlineStr">
        <is>
          <t>Decay-structure estimation</t>
        </is>
      </c>
      <c r="S7" s="2" t="inlineStr">
        <is>
          <t>As I01</t>
        </is>
      </c>
      <c r="T7" s="2" t="inlineStr">
        <is>
          <t>As I01</t>
        </is>
      </c>
      <c r="U7" s="2" t="inlineStr">
        <is>
          <t>Multi-horizon multi-task models</t>
        </is>
      </c>
      <c r="V7" s="2" t="inlineStr">
        <is>
          <t>GP aim portfolio</t>
        </is>
      </c>
      <c r="W7" s="2" t="inlineStr">
        <is>
          <t>JKMP2026 Markowitz-ML</t>
        </is>
      </c>
      <c r="X7" s="2" t="inlineStr">
        <is>
          <t>Horizon grid</t>
        </is>
      </c>
      <c r="Y7" s="2" t="inlineStr">
        <is>
          <t>Net Sharpe, turnover</t>
        </is>
      </c>
      <c r="Z7" s="2" t="inlineStr">
        <is>
          <t>Overlap with JKMP2026</t>
        </is>
      </c>
    </row>
    <row r="8">
      <c r="A8" s="2" t="inlineStr">
        <is>
          <t>I07</t>
        </is>
      </c>
      <c r="B8" s="2" t="inlineStr">
        <is>
          <t>Netting-Aware Signal Selection: Which Signals Earn Their Keep in a Combined Portfolio?</t>
        </is>
      </c>
      <c r="C8" s="2" t="inlineStr">
        <is>
          <t>What is each signal's marginal net contribution when trades from different signals cancel?</t>
        </is>
      </c>
      <c r="D8" s="3" t="n">
        <v>6</v>
      </c>
      <c r="E8" s="3" t="n">
        <v>9</v>
      </c>
      <c r="F8" s="3" t="n">
        <v>5</v>
      </c>
      <c r="G8" s="3" t="n">
        <v>6</v>
      </c>
      <c r="H8" s="3" t="n">
        <v>9</v>
      </c>
      <c r="I8" s="3" t="n">
        <v>6</v>
      </c>
      <c r="J8" s="3" t="n">
        <v>4</v>
      </c>
      <c r="K8" s="3">
        <f>ROUND(D8*Weights!$B$4+G8*Weights!$B$5+H8*Weights!$B$6+I8*Weights!$B$7+E8*Weights!$B$8+(10-F8)*Weights!$B$9+(10-J8)*Weights!$B$10,2)</f>
        <v/>
      </c>
      <c r="L8" s="3">
        <f>RANK(K8,$K$2:$K$16)</f>
        <v/>
      </c>
      <c r="M8" s="2" t="inlineStr">
        <is>
          <t>JFQA, FAJ, JFM</t>
        </is>
      </c>
      <c r="N8" s="2" t="inlineStr">
        <is>
          <t>High-turnover signals add value only through netting with slow signals.</t>
        </is>
      </c>
      <c r="O8" s="2" t="inlineStr">
        <is>
          <t>DMNU2020; NMV2016; CV2023</t>
        </is>
      </c>
      <c r="P8" s="2" t="inlineStr">
        <is>
          <t>Netting increases significant characteristics (DMNU2020, linear).</t>
        </is>
      </c>
      <c r="Q8" s="2" t="inlineStr">
        <is>
          <t>Nonlinear marginal contributions; attribution method.</t>
        </is>
      </c>
      <c r="R8" s="2" t="inlineStr">
        <is>
          <t>Shapley-style net-of-cost marginal contribution</t>
        </is>
      </c>
      <c r="S8" s="2" t="inlineStr">
        <is>
          <t>As I01</t>
        </is>
      </c>
      <c r="T8" s="2" t="inlineStr">
        <is>
          <t>As I01</t>
        </is>
      </c>
      <c r="U8" s="2" t="inlineStr">
        <is>
          <t>Linear + GBDT</t>
        </is>
      </c>
      <c r="V8" s="2" t="inlineStr">
        <is>
          <t>TC-aware optimiser</t>
        </is>
      </c>
      <c r="W8" s="2" t="inlineStr">
        <is>
          <t>Stand-alone signal net returns</t>
        </is>
      </c>
      <c r="X8" s="2" t="inlineStr">
        <is>
          <t>Leave-one-theme-out</t>
        </is>
      </c>
      <c r="Y8" s="2" t="inlineStr">
        <is>
          <t>Marginal net utility</t>
        </is>
      </c>
      <c r="Z8" s="2" t="inlineStr">
        <is>
          <t>Combinatorics</t>
        </is>
      </c>
    </row>
    <row r="9">
      <c r="A9" s="2" t="inlineStr">
        <is>
          <t>I08</t>
        </is>
      </c>
      <c r="B9" s="2" t="inlineStr">
        <is>
          <t>Crowding-Aware Alpha Combination</t>
        </is>
      </c>
      <c r="C9" s="2" t="inlineStr">
        <is>
          <t>Do crowding proxies (short interest, institutional ownership changes, valuation spreads) predict signal crashes and improve combination?</t>
        </is>
      </c>
      <c r="D9" s="3" t="n">
        <v>6</v>
      </c>
      <c r="E9" s="3" t="n">
        <v>6</v>
      </c>
      <c r="F9" s="3" t="n">
        <v>6</v>
      </c>
      <c r="G9" s="3" t="n">
        <v>5</v>
      </c>
      <c r="H9" s="3" t="n">
        <v>8</v>
      </c>
      <c r="I9" s="3" t="n">
        <v>5</v>
      </c>
      <c r="J9" s="3" t="n">
        <v>7</v>
      </c>
      <c r="K9" s="3">
        <f>ROUND(D9*Weights!$B$4+G9*Weights!$B$5+H9*Weights!$B$6+I9*Weights!$B$7+E9*Weights!$B$8+(10-F9)*Weights!$B$9+(10-J9)*Weights!$B$10,2)</f>
        <v/>
      </c>
      <c r="L9" s="3">
        <f>RANK(K9,$K$2:$K$16)</f>
        <v/>
      </c>
      <c r="M9" s="2" t="inlineStr">
        <is>
          <t>JFM, JBF</t>
        </is>
      </c>
      <c r="N9" s="2" t="inlineStr">
        <is>
          <t>Crowded signals should be down-weighted before crashes.</t>
        </is>
      </c>
      <c r="O9" s="2" t="inlineStr">
        <is>
          <t>MP2016; EL2022; LS2008</t>
        </is>
      </c>
      <c r="P9" s="2" t="inlineStr">
        <is>
          <t>Partial evidence on crowding and factor crashes.</t>
        </is>
      </c>
      <c r="Q9" s="2" t="inlineStr">
        <is>
          <t>Stock-level implementation with costs; clean crowding measures.</t>
        </is>
      </c>
      <c r="R9" s="2" t="inlineStr">
        <is>
          <t>Crowding meta-features</t>
        </is>
      </c>
      <c r="S9" s="2" t="inlineStr">
        <is>
          <t>As I01 + 13F, short interest (Compustat)</t>
        </is>
      </c>
      <c r="T9" s="2" t="inlineStr">
        <is>
          <t>As I01</t>
        </is>
      </c>
      <c r="U9" s="2" t="inlineStr">
        <is>
          <t>Meta-model</t>
        </is>
      </c>
      <c r="V9" s="2" t="inlineStr">
        <is>
          <t>TC-aware</t>
        </is>
      </c>
      <c r="W9" s="2" t="inlineStr">
        <is>
          <t>Static</t>
        </is>
      </c>
      <c r="X9" s="2" t="inlineStr">
        <is>
          <t>Crash prediction</t>
        </is>
      </c>
      <c r="Y9" s="2" t="inlineStr">
        <is>
          <t>Tail risk, net Sharpe</t>
        </is>
      </c>
      <c r="Z9" s="2" t="inlineStr">
        <is>
          <t>Crowding measurement noise; data access</t>
        </is>
      </c>
    </row>
    <row r="10">
      <c r="A10" s="2" t="inlineStr">
        <is>
          <t>I09</t>
        </is>
      </c>
      <c r="B10" s="2" t="inlineStr">
        <is>
          <t>Transfer Learning of Alpha Combination Across 90+ Markets</t>
        </is>
      </c>
      <c r="C10" s="2" t="inlineStr">
        <is>
          <t>Do combination functions learned in the US transfer to other markets, and does domain adaptation help net of local costs?</t>
        </is>
      </c>
      <c r="D10" s="3" t="n">
        <v>6</v>
      </c>
      <c r="E10" s="3" t="n">
        <v>6</v>
      </c>
      <c r="F10" s="3" t="n">
        <v>7</v>
      </c>
      <c r="G10" s="3" t="n">
        <v>6</v>
      </c>
      <c r="H10" s="3" t="n">
        <v>7</v>
      </c>
      <c r="I10" s="3" t="n">
        <v>6</v>
      </c>
      <c r="J10" s="3" t="n">
        <v>6</v>
      </c>
      <c r="K10" s="3">
        <f>ROUND(D10*Weights!$B$4+G10*Weights!$B$5+H10*Weights!$B$6+I10*Weights!$B$7+E10*Weights!$B$8+(10-F10)*Weights!$B$9+(10-J10)*Weights!$B$10,2)</f>
        <v/>
      </c>
      <c r="L10" s="3">
        <f>RANK(K10,$K$2:$K$16)</f>
        <v/>
      </c>
      <c r="M10" s="2" t="inlineStr">
        <is>
          <t>JFQA, RF, JBF</t>
        </is>
      </c>
      <c r="N10" s="2" t="inlineStr">
        <is>
          <t>Nonlinear structure transfers partially; cost structures differ.</t>
        </is>
      </c>
      <c r="O10" s="2" t="inlineStr">
        <is>
          <t>JKP2023; TH2021; CFMZ2023</t>
        </is>
      </c>
      <c r="P10" s="2" t="inlineStr">
        <is>
          <t>Anomalies replicate globally; ML predictability global.</t>
        </is>
      </c>
      <c r="Q10" s="2" t="inlineStr">
        <is>
          <t>Transfer of combination functions with local costs.</t>
        </is>
      </c>
      <c r="R10" s="2" t="inlineStr">
        <is>
          <t>Domain adaptation</t>
        </is>
      </c>
      <c r="S10" s="2" t="inlineStr">
        <is>
          <t>JKP global + Datastream/Compustat Global</t>
        </is>
      </c>
      <c r="T10" s="2" t="inlineStr">
        <is>
          <t>JKP 153</t>
        </is>
      </c>
      <c r="U10" s="2" t="inlineStr">
        <is>
          <t>Pretrain-finetune</t>
        </is>
      </c>
      <c r="V10" s="2" t="inlineStr">
        <is>
          <t>TC-aware</t>
        </is>
      </c>
      <c r="W10" s="2" t="inlineStr">
        <is>
          <t>Local models</t>
        </is>
      </c>
      <c r="X10" s="2" t="inlineStr">
        <is>
          <t>Country panels</t>
        </is>
      </c>
      <c r="Y10" s="2" t="inlineStr">
        <is>
          <t>Net Sharpe by market</t>
        </is>
      </c>
      <c r="Z10" s="2" t="inlineStr">
        <is>
          <t>International cost data</t>
        </is>
      </c>
    </row>
    <row r="11">
      <c r="A11" s="2" t="inlineStr">
        <is>
          <t>I10</t>
        </is>
      </c>
      <c r="B11" s="2" t="inlineStr">
        <is>
          <t>Do Text and LLM Signals Add Net-of-Cost Value to a Mature Signal Library?</t>
        </is>
      </c>
      <c r="C11" s="2" t="inlineStr">
        <is>
          <t>What is the incremental net value of news/LLM signals after controlling for 150 characteristics and costs?</t>
        </is>
      </c>
      <c r="D11" s="3" t="n">
        <v>7</v>
      </c>
      <c r="E11" s="3" t="n">
        <v>4</v>
      </c>
      <c r="F11" s="3" t="n">
        <v>7</v>
      </c>
      <c r="G11" s="3" t="n">
        <v>6</v>
      </c>
      <c r="H11" s="3" t="n">
        <v>8</v>
      </c>
      <c r="I11" s="3" t="n">
        <v>6</v>
      </c>
      <c r="J11" s="3" t="n">
        <v>7</v>
      </c>
      <c r="K11" s="3">
        <f>ROUND(D11*Weights!$B$4+G11*Weights!$B$5+H11*Weights!$B$6+I11*Weights!$B$7+E11*Weights!$B$8+(10-F11)*Weights!$B$9+(10-J11)*Weights!$B$10,2)</f>
        <v/>
      </c>
      <c r="L11" s="3">
        <f>RANK(K11,$K$2:$K$16)</f>
        <v/>
      </c>
      <c r="M11" s="2" t="inlineStr">
        <is>
          <t>JFQA, MS</t>
        </is>
      </c>
      <c r="N11" s="2" t="inlineStr">
        <is>
          <t>Fast text signals add gross IC but little net value except through netting.</t>
        </is>
      </c>
      <c r="O11" s="2" t="inlineStr">
        <is>
          <t>LLT2023; OP2022; CV2023</t>
        </is>
      </c>
      <c r="P11" s="2" t="inlineStr">
        <is>
          <t>LLM scores predict short-term returns.</t>
        </is>
      </c>
      <c r="Q11" s="2" t="inlineStr">
        <is>
          <t>Incremental net value in combination.</t>
        </is>
      </c>
      <c r="R11" s="2" t="inlineStr">
        <is>
          <t>Incremental-value test with costs</t>
        </is>
      </c>
      <c r="S11" s="2" t="inlineStr">
        <is>
          <t>RavenPack/news (costly) or EDGAR text</t>
        </is>
      </c>
      <c r="T11" s="2" t="inlineStr">
        <is>
          <t>Library + text</t>
        </is>
      </c>
      <c r="U11" s="2" t="inlineStr">
        <is>
          <t>LLM embeddings + GBDT</t>
        </is>
      </c>
      <c r="V11" s="2" t="inlineStr">
        <is>
          <t>TC-aware</t>
        </is>
      </c>
      <c r="W11" s="2" t="inlineStr">
        <is>
          <t>Library-only</t>
        </is>
      </c>
      <c r="X11" s="2" t="inlineStr">
        <is>
          <t>Incremental tests</t>
        </is>
      </c>
      <c r="Y11" s="2" t="inlineStr">
        <is>
          <t>Net Sharpe, spanning</t>
        </is>
      </c>
      <c r="Z11" s="2" t="inlineStr">
        <is>
          <t>Data cost; look-ahead in LLM training</t>
        </is>
      </c>
    </row>
    <row r="12">
      <c r="A12" s="2" t="inlineStr">
        <is>
          <t>I11</t>
        </is>
      </c>
      <c r="B12" s="2" t="inlineStr">
        <is>
          <t>Graph Neural Signal Propagation with Trading Costs</t>
        </is>
      </c>
      <c r="C12" s="2" t="inlineStr">
        <is>
          <t>Do supply-chain/peer graphs improve combination net of costs?</t>
        </is>
      </c>
      <c r="D12" s="3" t="n">
        <v>6</v>
      </c>
      <c r="E12" s="3" t="n">
        <v>4</v>
      </c>
      <c r="F12" s="3" t="n">
        <v>8</v>
      </c>
      <c r="G12" s="3" t="n">
        <v>5</v>
      </c>
      <c r="H12" s="3" t="n">
        <v>6</v>
      </c>
      <c r="I12" s="3" t="n">
        <v>5</v>
      </c>
      <c r="J12" s="3" t="n">
        <v>7</v>
      </c>
      <c r="K12" s="3">
        <f>ROUND(D12*Weights!$B$4+G12*Weights!$B$5+H12*Weights!$B$6+I12*Weights!$B$7+E12*Weights!$B$8+(10-F12)*Weights!$B$9+(10-J12)*Weights!$B$10,2)</f>
        <v/>
      </c>
      <c r="L12" s="3">
        <f>RANK(K12,$K$2:$K$16)</f>
        <v/>
      </c>
      <c r="M12" s="2" t="inlineStr">
        <is>
          <t>QF, EJOR</t>
        </is>
      </c>
      <c r="N12" s="2" t="inlineStr">
        <is>
          <t>Graph signals are slow-moving and cheap to trade.</t>
        </is>
      </c>
      <c r="O12" s="2" t="inlineStr">
        <is>
          <t>CF2008</t>
        </is>
      </c>
      <c r="P12" s="2" t="inlineStr">
        <is>
          <t>Customer-supplier momentum exists.</t>
        </is>
      </c>
      <c r="Q12" s="2" t="inlineStr">
        <is>
          <t>GNN combination net of costs.</t>
        </is>
      </c>
      <c r="R12" s="2" t="inlineStr">
        <is>
          <t>GNN in cost-aware setting</t>
        </is>
      </c>
      <c r="S12" s="2" t="inlineStr">
        <is>
          <t>Compustat segments / FactSet Revere (costly)</t>
        </is>
      </c>
      <c r="T12" s="2" t="inlineStr">
        <is>
          <t>Library + graph</t>
        </is>
      </c>
      <c r="U12" s="2" t="inlineStr">
        <is>
          <t>GNN</t>
        </is>
      </c>
      <c r="V12" s="2" t="inlineStr">
        <is>
          <t>TC-aware</t>
        </is>
      </c>
      <c r="W12" s="2" t="inlineStr">
        <is>
          <t>Non-graph</t>
        </is>
      </c>
      <c r="X12" s="2" t="inlineStr">
        <is>
          <t>Graph ablations</t>
        </is>
      </c>
      <c r="Y12" s="2" t="inlineStr">
        <is>
          <t>Net Sharpe</t>
        </is>
      </c>
      <c r="Z12" s="2" t="inlineStr">
        <is>
          <t>Graph data PIT</t>
        </is>
      </c>
    </row>
    <row r="13">
      <c r="A13" s="2" t="inlineStr">
        <is>
          <t>I12</t>
        </is>
      </c>
      <c r="B13" s="2" t="inlineStr">
        <is>
          <t>Bayesian Dynamic Model Averaging of Alpha Signals</t>
        </is>
      </c>
      <c r="C13" s="2" t="inlineStr">
        <is>
          <t>Does time-varying Bayesian combination beat static and ML combinations?</t>
        </is>
      </c>
      <c r="D13" s="3" t="n">
        <v>4</v>
      </c>
      <c r="E13" s="3" t="n">
        <v>9</v>
      </c>
      <c r="F13" s="3" t="n">
        <v>4</v>
      </c>
      <c r="G13" s="3" t="n">
        <v>4</v>
      </c>
      <c r="H13" s="3" t="n">
        <v>7</v>
      </c>
      <c r="I13" s="3" t="n">
        <v>5</v>
      </c>
      <c r="J13" s="3" t="n">
        <v>4</v>
      </c>
      <c r="K13" s="3">
        <f>ROUND(D13*Weights!$B$4+G13*Weights!$B$5+H13*Weights!$B$6+I13*Weights!$B$7+E13*Weights!$B$8+(10-F13)*Weights!$B$9+(10-J13)*Weights!$B$10,2)</f>
        <v/>
      </c>
      <c r="L13" s="3">
        <f>RANK(K13,$K$2:$K$16)</f>
        <v/>
      </c>
      <c r="M13" s="2" t="inlineStr">
        <is>
          <t>IJF, JEF</t>
        </is>
      </c>
      <c r="N13" s="2" t="inlineStr">
        <is>
          <t>Simple adaptive shrinkage matches ML net of costs.</t>
        </is>
      </c>
      <c r="O13" s="2" t="inlineStr">
        <is>
          <t>RSZ2010; KNS2020</t>
        </is>
      </c>
      <c r="P13" s="2" t="inlineStr">
        <is>
          <t>Combination beats selection in time series.</t>
        </is>
      </c>
      <c r="Q13" s="2" t="inlineStr">
        <is>
          <t>Cross-sectional dynamic averaging net of costs.</t>
        </is>
      </c>
      <c r="R13" s="2" t="inlineStr">
        <is>
          <t>DMA for signals</t>
        </is>
      </c>
      <c r="S13" s="2" t="inlineStr">
        <is>
          <t>As I01</t>
        </is>
      </c>
      <c r="T13" s="2" t="inlineStr">
        <is>
          <t>As I01</t>
        </is>
      </c>
      <c r="U13" s="2" t="inlineStr">
        <is>
          <t>DMA / discounted least squares</t>
        </is>
      </c>
      <c r="V13" s="2" t="inlineStr">
        <is>
          <t>TC-aware</t>
        </is>
      </c>
      <c r="W13" s="2" t="inlineStr">
        <is>
          <t>ML</t>
        </is>
      </c>
      <c r="X13" s="2" t="inlineStr">
        <is>
          <t>Forgetting factors</t>
        </is>
      </c>
      <c r="Y13" s="2" t="inlineStr">
        <is>
          <t>Net Sharpe</t>
        </is>
      </c>
      <c r="Z13" s="2" t="inlineStr">
        <is>
          <t>Limited novelty</t>
        </is>
      </c>
    </row>
    <row r="14">
      <c r="A14" s="2" t="inlineStr">
        <is>
          <t>I13</t>
        </is>
      </c>
      <c r="B14" s="2" t="inlineStr">
        <is>
          <t>State-Dependent Capacity of ML Alpha</t>
        </is>
      </c>
      <c r="C14" s="2" t="inlineStr">
        <is>
          <t>How does the implementable frontier shift across liquidity regimes and AUM?</t>
        </is>
      </c>
      <c r="D14" s="3" t="n">
        <v>6</v>
      </c>
      <c r="E14" s="3" t="n">
        <v>7</v>
      </c>
      <c r="F14" s="3" t="n">
        <v>6</v>
      </c>
      <c r="G14" s="3" t="n">
        <v>6</v>
      </c>
      <c r="H14" s="3" t="n">
        <v>9</v>
      </c>
      <c r="I14" s="3" t="n">
        <v>6</v>
      </c>
      <c r="J14" s="3" t="n">
        <v>5</v>
      </c>
      <c r="K14" s="3">
        <f>ROUND(D14*Weights!$B$4+G14*Weights!$B$5+H14*Weights!$B$6+I14*Weights!$B$7+E14*Weights!$B$8+(10-F14)*Weights!$B$9+(10-J14)*Weights!$B$10,2)</f>
        <v/>
      </c>
      <c r="L14" s="3">
        <f>RANK(K14,$K$2:$K$16)</f>
        <v/>
      </c>
      <c r="M14" s="2" t="inlineStr">
        <is>
          <t>JFM, FAJ</t>
        </is>
      </c>
      <c r="N14" s="2" t="inlineStr">
        <is>
          <t>Capacity collapses in illiquid regimes; cost-aware conditioning preserves it.</t>
        </is>
      </c>
      <c r="O14" s="2" t="inlineStr">
        <is>
          <t>CDS2020; KS2004; JKMP2026</t>
        </is>
      </c>
      <c r="P14" s="2" t="inlineStr">
        <is>
          <t>Theory of liquidity regimes; static capacity estimates.</t>
        </is>
      </c>
      <c r="Q14" s="2" t="inlineStr">
        <is>
          <t>Regime-dependent capacity for ML portfolios.</t>
        </is>
      </c>
      <c r="R14" s="2" t="inlineStr">
        <is>
          <t>Capacity as function of state</t>
        </is>
      </c>
      <c r="S14" s="2" t="inlineStr">
        <is>
          <t>As I01 + TAQ</t>
        </is>
      </c>
      <c r="T14" s="2" t="inlineStr">
        <is>
          <t>As I01</t>
        </is>
      </c>
      <c r="U14" s="2" t="inlineStr">
        <is>
          <t>As I01</t>
        </is>
      </c>
      <c r="V14" s="2" t="inlineStr">
        <is>
          <t>TC-aware with AUM grid</t>
        </is>
      </c>
      <c r="W14" s="2" t="inlineStr">
        <is>
          <t>Static cost model</t>
        </is>
      </c>
      <c r="X14" s="2" t="inlineStr">
        <is>
          <t>AUM x regime</t>
        </is>
      </c>
      <c r="Y14" s="2" t="inlineStr">
        <is>
          <t>Break-even AUM</t>
        </is>
      </c>
      <c r="Z14" s="2" t="inlineStr">
        <is>
          <t>Impact calibration</t>
        </is>
      </c>
    </row>
    <row r="15">
      <c r="A15" s="2" t="inlineStr">
        <is>
          <t>I14</t>
        </is>
      </c>
      <c r="B15" s="2" t="inlineStr">
        <is>
          <t>Publication-Aware Training: Eliminating Look-Ahead in Signal Discovery</t>
        </is>
      </c>
      <c r="C15" s="2" t="inlineStr">
        <is>
          <t>How much ML alpha comes from using signals before they were discovered?</t>
        </is>
      </c>
      <c r="D15" s="3" t="n">
        <v>4</v>
      </c>
      <c r="E15" s="3" t="n">
        <v>9</v>
      </c>
      <c r="F15" s="3" t="n">
        <v>4</v>
      </c>
      <c r="G15" s="3" t="n">
        <v>5</v>
      </c>
      <c r="H15" s="3" t="n">
        <v>7</v>
      </c>
      <c r="I15" s="3" t="n">
        <v>5</v>
      </c>
      <c r="J15" s="3" t="n">
        <v>3</v>
      </c>
      <c r="K15" s="3">
        <f>ROUND(D15*Weights!$B$4+G15*Weights!$B$5+H15*Weights!$B$6+I15*Weights!$B$7+E15*Weights!$B$8+(10-F15)*Weights!$B$9+(10-J15)*Weights!$B$10,2)</f>
        <v/>
      </c>
      <c r="L15" s="3">
        <f>RANK(K15,$K$2:$K$16)</f>
        <v/>
      </c>
      <c r="M15" s="2" t="inlineStr">
        <is>
          <t>CFR, JFM</t>
        </is>
      </c>
      <c r="N15" s="2" t="inlineStr">
        <is>
          <t>A large share of backtested ML alpha pre-2000 relies on undiscovered signals.</t>
        </is>
      </c>
      <c r="O15" s="2" t="inlineStr">
        <is>
          <t>MP2016; CHK2024; AHV2023</t>
        </is>
      </c>
      <c r="P15" s="2" t="inlineStr">
        <is>
          <t>Partially studied as a design choice (CHK2024, AHV2023).</t>
        </is>
      </c>
      <c r="Q15" s="2" t="inlineStr">
        <is>
          <t>Systematic quantification in a cost-aware combination.</t>
        </is>
      </c>
      <c r="R15" s="2" t="inlineStr">
        <is>
          <t>Publication-date gating</t>
        </is>
      </c>
      <c r="S15" s="2" t="inlineStr">
        <is>
          <t>OpenAP signal publication dates</t>
        </is>
      </c>
      <c r="T15" s="2" t="inlineStr">
        <is>
          <t>As I01</t>
        </is>
      </c>
      <c r="U15" s="2" t="inlineStr">
        <is>
          <t>As I01</t>
        </is>
      </c>
      <c r="V15" s="2" t="inlineStr">
        <is>
          <t>TC-aware</t>
        </is>
      </c>
      <c r="W15" s="2" t="inlineStr">
        <is>
          <t>Full library</t>
        </is>
      </c>
      <c r="X15" s="2" t="inlineStr">
        <is>
          <t>Gated vs ungated</t>
        </is>
      </c>
      <c r="Y15" s="2" t="inlineStr">
        <is>
          <t>Net alpha gap</t>
        </is>
      </c>
      <c r="Z15" s="2" t="inlineStr">
        <is>
          <t>Overlap with existing design-choice papers</t>
        </is>
      </c>
    </row>
    <row r="16">
      <c r="A16" s="2" t="inlineStr">
        <is>
          <t>I15</t>
        </is>
      </c>
      <c r="B16" s="2" t="inlineStr">
        <is>
          <t>Alpha-Risk Model Misalignment in ML Portfolios</t>
        </is>
      </c>
      <c r="C16" s="2" t="inlineStr">
        <is>
          <t>Does nonlinear ML alpha create systematic misalignment with factor risk models, and does an alignment correction improve realised risk and net returns?</t>
        </is>
      </c>
      <c r="D16" s="3" t="n">
        <v>6</v>
      </c>
      <c r="E16" s="3" t="n">
        <v>8</v>
      </c>
      <c r="F16" s="3" t="n">
        <v>5</v>
      </c>
      <c r="G16" s="3" t="n">
        <v>5</v>
      </c>
      <c r="H16" s="3" t="n">
        <v>8</v>
      </c>
      <c r="I16" s="3" t="n">
        <v>5</v>
      </c>
      <c r="J16" s="3" t="n">
        <v>5</v>
      </c>
      <c r="K16" s="3">
        <f>ROUND(D16*Weights!$B$4+G16*Weights!$B$5+H16*Weights!$B$6+I16*Weights!$B$7+E16*Weights!$B$8+(10-F16)*Weights!$B$9+(10-J16)*Weights!$B$10,2)</f>
        <v/>
      </c>
      <c r="L16" s="3">
        <f>RANK(K16,$K$2:$K$16)</f>
        <v/>
      </c>
      <c r="M16" s="2" t="inlineStr">
        <is>
          <t>QF, JPM, FAJ</t>
        </is>
      </c>
      <c r="N16" s="2" t="inlineStr">
        <is>
          <t>ML alpha loads on unmodelled nonlinear factors, causing risk underestimation.</t>
        </is>
      </c>
      <c r="O16" s="2" t="inlineStr">
        <is>
          <t>CSS2012; LS2008; KPS2019</t>
        </is>
      </c>
      <c r="P16" s="2" t="inlineStr">
        <is>
          <t>Alignment problem documented for linear alphas.</t>
        </is>
      </c>
      <c r="Q16" s="2" t="inlineStr">
        <is>
          <t>Alignment for nonlinear ML alphas; learned alignment factors.</t>
        </is>
      </c>
      <c r="R16" s="2" t="inlineStr">
        <is>
          <t>Alignment diagnostics for ML</t>
        </is>
      </c>
      <c r="S16" s="2" t="inlineStr">
        <is>
          <t>As I01</t>
        </is>
      </c>
      <c r="T16" s="2" t="inlineStr">
        <is>
          <t>As I01</t>
        </is>
      </c>
      <c r="U16" s="2" t="inlineStr">
        <is>
          <t>GBDT/NN</t>
        </is>
      </c>
      <c r="V16" s="2" t="inlineStr">
        <is>
          <t>MVO with alpha alignment factor</t>
        </is>
      </c>
      <c r="W16" s="2" t="inlineStr">
        <is>
          <t>Standard risk model</t>
        </is>
      </c>
      <c r="X16" s="2" t="inlineStr">
        <is>
          <t>Ex-ante vs ex-post risk</t>
        </is>
      </c>
      <c r="Y16" s="2" t="inlineStr">
        <is>
          <t>Risk bias statistic, net IR</t>
        </is>
      </c>
      <c r="Z16" s="2" t="inlineStr">
        <is>
          <t>Commercial risk models unavailable; build own</t>
        </is>
      </c>
    </row>
  </sheetData>
  <autoFilter ref="A1:Z16"/>
  <conditionalFormatting sqref="D2:D16">
    <cfRule type="colorScale" priority="1">
      <colorScale>
        <cfvo type="num" val="0"/>
        <cfvo type="num" val="10"/>
        <color rgb="00F4F4F1"/>
        <color rgb="006DA7EC"/>
      </colorScale>
    </cfRule>
  </conditionalFormatting>
  <conditionalFormatting sqref="E2:E16">
    <cfRule type="colorScale" priority="2">
      <colorScale>
        <cfvo type="num" val="0"/>
        <cfvo type="num" val="10"/>
        <color rgb="00F4F4F1"/>
        <color rgb="006DA7EC"/>
      </colorScale>
    </cfRule>
  </conditionalFormatting>
  <conditionalFormatting sqref="G2:G16">
    <cfRule type="colorScale" priority="3">
      <colorScale>
        <cfvo type="num" val="0"/>
        <cfvo type="num" val="10"/>
        <color rgb="00F4F4F1"/>
        <color rgb="006DA7EC"/>
      </colorScale>
    </cfRule>
  </conditionalFormatting>
  <conditionalFormatting sqref="H2:H16">
    <cfRule type="colorScale" priority="4">
      <colorScale>
        <cfvo type="num" val="0"/>
        <cfvo type="num" val="10"/>
        <color rgb="00F4F4F1"/>
        <color rgb="006DA7EC"/>
      </colorScale>
    </cfRule>
  </conditionalFormatting>
  <conditionalFormatting sqref="I2:I16">
    <cfRule type="colorScale" priority="5">
      <colorScale>
        <cfvo type="num" val="0"/>
        <cfvo type="num" val="10"/>
        <color rgb="00F4F4F1"/>
        <color rgb="006DA7EC"/>
      </colorScale>
    </cfRule>
  </conditionalFormatting>
  <conditionalFormatting sqref="F2:F16">
    <cfRule type="colorScale" priority="6">
      <colorScale>
        <cfvo type="num" val="0"/>
        <cfvo type="num" val="10"/>
        <color rgb="00F4F4F1"/>
        <color rgb="00EC835A"/>
      </colorScale>
    </cfRule>
  </conditionalFormatting>
  <conditionalFormatting sqref="J2:J16">
    <cfRule type="colorScale" priority="7">
      <colorScale>
        <cfvo type="num" val="0"/>
        <cfvo type="num" val="10"/>
        <color rgb="00F4F4F1"/>
        <color rgb="00EC835A"/>
      </colorScale>
    </cfRule>
  </conditionalFormatting>
  <conditionalFormatting sqref="K2:K16">
    <cfRule type="dataBar" priority="8">
      <dataBar>
        <cfvo type="num" val="4"/>
        <cfvo type="num" val="9"/>
        <color rgb="002A78D6"/>
      </dataBar>
    </cfRule>
  </conditionalFormatting>
  <conditionalFormatting sqref="A2:C16">
    <cfRule type="expression" priority="9" dxfId="0">
      <formula>$L2=1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4" t="inlineStr">
        <is>
          <t>Scoring weights (editable - Ideas sheet recalculates)</t>
        </is>
      </c>
    </row>
    <row r="2">
      <c r="A2" s="5" t="inlineStr">
        <is>
          <t>Weights should sum to 1.00</t>
        </is>
      </c>
    </row>
    <row r="3">
      <c r="A3" s="6" t="inlineStr">
        <is>
          <t>Criterion</t>
        </is>
      </c>
      <c r="B3" s="6" t="inlineStr">
        <is>
          <t>Weight</t>
        </is>
      </c>
    </row>
    <row r="4">
      <c r="A4" t="inlineStr">
        <is>
          <t>Novelty</t>
        </is>
      </c>
      <c r="B4" t="n">
        <v>0.2</v>
      </c>
    </row>
    <row r="5">
      <c r="A5" t="inlineStr">
        <is>
          <t>Academic importance</t>
        </is>
      </c>
      <c r="B5" t="n">
        <v>0.15</v>
      </c>
    </row>
    <row r="6">
      <c r="A6" t="inlineStr">
        <is>
          <t>Practical importance</t>
        </is>
      </c>
      <c r="B6" t="n">
        <v>0.1</v>
      </c>
    </row>
    <row r="7">
      <c r="A7" t="inlineStr">
        <is>
          <t>Publication potential</t>
        </is>
      </c>
      <c r="B7" t="n">
        <v>0.2</v>
      </c>
    </row>
    <row r="8">
      <c r="A8" t="inlineStr">
        <is>
          <t>Data feasibility</t>
        </is>
      </c>
      <c r="B8" t="n">
        <v>0.15</v>
      </c>
    </row>
    <row r="9">
      <c r="A9" t="inlineStr">
        <is>
          <t>Implementation ease (10 - difficulty)</t>
        </is>
      </c>
      <c r="B9" t="n">
        <v>0.1</v>
      </c>
    </row>
    <row r="10">
      <c r="A10" t="inlineStr">
        <is>
          <t>Safety (10 - failure risk)</t>
        </is>
      </c>
      <c r="B10" t="n">
        <v>0.1</v>
      </c>
    </row>
    <row r="11">
      <c r="A11" s="7" t="inlineStr">
        <is>
          <t>Sum of weights</t>
        </is>
      </c>
      <c r="B11">
        <f>SUM(B4:B10)</f>
        <v/>
      </c>
    </row>
  </sheetData>
  <conditionalFormatting sqref="B11">
    <cfRule type="cellIs" priority="1" operator="notEqual" dxfId="1">
      <formula>1</formula>
    </cfRule>
  </conditionalFormatting>
  <dataValidations count="1">
    <dataValidation sqref="B4:B10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34" customHeight="1">
      <c r="A1" s="1" t="inlineStr">
        <is>
          <t>Criterion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</row>
    <row r="2">
      <c r="A2" s="2" t="inlineStr">
        <is>
          <t>Novelty</t>
        </is>
      </c>
      <c r="B2" s="3" t="n">
        <v>8</v>
      </c>
      <c r="C2" s="3" t="n">
        <v>7</v>
      </c>
      <c r="D2" s="3" t="n">
        <v>6</v>
      </c>
      <c r="E2" s="3" t="n">
        <v>7</v>
      </c>
      <c r="F2" s="3" t="n">
        <v>6</v>
      </c>
    </row>
    <row r="3">
      <c r="A3" s="2" t="inlineStr">
        <is>
          <t>Academic contribution</t>
        </is>
      </c>
      <c r="B3" s="3" t="n">
        <v>9</v>
      </c>
      <c r="C3" s="3" t="n">
        <v>7</v>
      </c>
      <c r="D3" s="3" t="n">
        <v>6</v>
      </c>
      <c r="E3" s="3" t="n">
        <v>6</v>
      </c>
      <c r="F3" s="3" t="n">
        <v>5</v>
      </c>
    </row>
    <row r="4">
      <c r="A4" s="2" t="inlineStr">
        <is>
          <t>Practical significance</t>
        </is>
      </c>
      <c r="B4" s="3" t="n">
        <v>9</v>
      </c>
      <c r="C4" s="3" t="n">
        <v>9</v>
      </c>
      <c r="D4" s="3" t="n">
        <v>8</v>
      </c>
      <c r="E4" s="3" t="n">
        <v>7</v>
      </c>
      <c r="F4" s="3" t="n">
        <v>8</v>
      </c>
    </row>
    <row r="5">
      <c r="A5" s="2" t="inlineStr">
        <is>
          <t>Data feasibility</t>
        </is>
      </c>
      <c r="B5" s="3" t="n">
        <v>8</v>
      </c>
      <c r="C5" s="3" t="n">
        <v>8</v>
      </c>
      <c r="D5" s="3" t="n">
        <v>8</v>
      </c>
      <c r="E5" s="3" t="n">
        <v>8</v>
      </c>
      <c r="F5" s="3" t="n">
        <v>8</v>
      </c>
    </row>
    <row r="6">
      <c r="A6" s="2" t="inlineStr">
        <is>
          <t>Implementation feasibility</t>
        </is>
      </c>
      <c r="B6" s="3" t="n">
        <v>6</v>
      </c>
      <c r="C6" s="3" t="n">
        <v>7</v>
      </c>
      <c r="D6" s="3" t="n">
        <v>7</v>
      </c>
      <c r="E6" s="3" t="n">
        <v>4</v>
      </c>
      <c r="F6" s="3" t="n">
        <v>6</v>
      </c>
    </row>
    <row r="7">
      <c r="A7" s="2" t="inlineStr">
        <is>
          <t>Statistical rigor achievable</t>
        </is>
      </c>
      <c r="B7" s="3" t="n">
        <v>9</v>
      </c>
      <c r="C7" s="3" t="n">
        <v>7</v>
      </c>
      <c r="D7" s="3" t="n">
        <v>8</v>
      </c>
      <c r="E7" s="3" t="n">
        <v>7</v>
      </c>
      <c r="F7" s="3" t="n">
        <v>6</v>
      </c>
    </row>
    <row r="8">
      <c r="A8" s="2" t="inlineStr">
        <is>
          <t>Reproducibility</t>
        </is>
      </c>
      <c r="B8" s="3" t="n">
        <v>9</v>
      </c>
      <c r="C8" s="3" t="n">
        <v>9</v>
      </c>
      <c r="D8" s="3" t="n">
        <v>9</v>
      </c>
      <c r="E8" s="3" t="n">
        <v>7</v>
      </c>
      <c r="F8" s="3" t="n">
        <v>8</v>
      </c>
    </row>
    <row r="9">
      <c r="A9" s="2" t="inlineStr">
        <is>
          <t>Potential performance (not required to "win")</t>
        </is>
      </c>
      <c r="B9" s="3" t="n">
        <v>7</v>
      </c>
      <c r="C9" s="3" t="n">
        <v>7</v>
      </c>
      <c r="D9" s="3" t="n">
        <v>6</v>
      </c>
      <c r="E9" s="3" t="n">
        <v>6</v>
      </c>
      <c r="F9" s="3" t="n">
        <v>6</v>
      </c>
    </row>
    <row r="10">
      <c r="A10" s="2" t="inlineStr">
        <is>
          <t>Causal/mechanistic insight</t>
        </is>
      </c>
      <c r="B10" s="3" t="n">
        <v>8</v>
      </c>
      <c r="C10" s="3" t="n">
        <v>6</v>
      </c>
      <c r="D10" s="3" t="n">
        <v>6</v>
      </c>
      <c r="E10" s="3" t="n">
        <v>4</v>
      </c>
      <c r="F10" s="3" t="n">
        <v>6</v>
      </c>
    </row>
    <row r="11">
      <c r="A11" s="2" t="inlineStr">
        <is>
          <t>Journal fit (finance)</t>
        </is>
      </c>
      <c r="B11" s="3" t="n">
        <v>9</v>
      </c>
      <c r="C11" s="3" t="n">
        <v>8</v>
      </c>
      <c r="D11" s="3" t="n">
        <v>7</v>
      </c>
      <c r="E11" s="3" t="n">
        <v>6</v>
      </c>
      <c r="F11" s="3" t="n">
        <v>6</v>
      </c>
    </row>
    <row r="12">
      <c r="A12" s="8" t="inlineStr">
        <is>
          <t>Mean (formula)</t>
        </is>
      </c>
      <c r="B12" s="9">
        <f>ROUND(AVERAGE(B2:B11),2)</f>
        <v/>
      </c>
      <c r="C12" s="9">
        <f>ROUND(AVERAGE(C2:C11),2)</f>
        <v/>
      </c>
      <c r="D12" s="9">
        <f>ROUND(AVERAGE(D2:D11),2)</f>
        <v/>
      </c>
      <c r="E12" s="9">
        <f>ROUND(AVERAGE(E2:E11),2)</f>
        <v/>
      </c>
      <c r="F12" s="9">
        <f>ROUND(AVERAGE(F2:F11),2)</f>
        <v/>
      </c>
    </row>
  </sheetData>
  <autoFilter ref="A1:F12"/>
  <conditionalFormatting sqref="B2:F11">
    <cfRule type="colorScale" priority="1">
      <colorScale>
        <cfvo type="num" val="3"/>
        <cfvo type="num" val="10"/>
        <color rgb="00F4F4F1"/>
        <color rgb="006DA7E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2026-09-18T21:06:31Z</dcterms:created>
  <dcterms:modified xmlns:dcterms="http://purl.org/dc/terms/" xmlns:xsi="http://www.w3.org/2001/XMLSchema-instance" xsi:type="dcterms:W3CDTF">2026-09-18T21:06:31Z</dcterms:modified>
</cp:coreProperties>
</file>