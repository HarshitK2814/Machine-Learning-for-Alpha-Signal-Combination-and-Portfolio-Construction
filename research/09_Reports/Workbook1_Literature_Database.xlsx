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osest_Prior_Art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'Literature'!$A$1:$AF$201</definedName>
    <definedName name="_xlnm._FilterDatabase" localSheetId="2" hidden="1">'Closest_Prior_Art'!$A$1:$H$25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184F95"/>
      <sz val="10"/>
      <u val="single"/>
    </font>
    <font>
      <name val="Calibri"/>
      <b val="1"/>
      <color rgb="000D366B"/>
      <sz val="14"/>
    </font>
    <font>
      <name val="Calibri"/>
      <i val="1"/>
      <color rgb="0052514E"/>
      <sz val="9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2">
    <border>
      <left/>
      <right/>
      <top/>
      <bottom/>
      <diagonal/>
    </border>
    <border>
      <bottom style="thin">
        <color rgb="00D9D8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3EEFB"/>
        </patternFill>
      </fill>
    </dxf>
    <dxf>
      <fill>
        <patternFill patternType="solid">
          <fgColor rgb="00D6F0DF"/>
        </patternFill>
      </fill>
    </dxf>
    <dxf>
      <fill>
        <patternFill patternType="solid">
          <fgColor rgb="00FCEBC7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93/rfs/hhag022" TargetMode="External" Id="rId1"/><Relationship Type="http://schemas.openxmlformats.org/officeDocument/2006/relationships/hyperlink" Target="https://doi.org/10.1287/mnsc.2025.00721" TargetMode="External" Id="rId2"/><Relationship Type="http://schemas.openxmlformats.org/officeDocument/2006/relationships/hyperlink" Target="https://arxiv.org/abs/2503.00549" TargetMode="External" Id="rId3"/><Relationship Type="http://schemas.openxmlformats.org/officeDocument/2006/relationships/hyperlink" Target="https://ssrn.com/abstract=5031755" TargetMode="External" Id="rId4"/><Relationship Type="http://schemas.openxmlformats.org/officeDocument/2006/relationships/hyperlink" Target="https://doi.org/10.1111/jofi.13395" TargetMode="External" Id="rId5"/><Relationship Type="http://schemas.openxmlformats.org/officeDocument/2006/relationships/hyperlink" Target="https://papers.ssrn.com/sol3/papers.cfm?abstract_id=4376898" TargetMode="External" Id="rId6"/><Relationship Type="http://schemas.openxmlformats.org/officeDocument/2006/relationships/hyperlink" Target="https://doi.org/10.1287/mnsc.2022.4449" TargetMode="External" Id="rId7"/><Relationship Type="http://schemas.openxmlformats.org/officeDocument/2006/relationships/hyperlink" Target="https://papers.ssrn.com/sol3/papers.cfm?abstract_id=4702406" TargetMode="External" Id="rId8"/><Relationship Type="http://schemas.openxmlformats.org/officeDocument/2006/relationships/hyperlink" Target="https://doi.org/10.3905/jfds.2023.1.135" TargetMode="External" Id="rId9"/><Relationship Type="http://schemas.openxmlformats.org/officeDocument/2006/relationships/hyperlink" Target="https://doi.org/10.1017/s0022109022000874" TargetMode="External" Id="rId10"/><Relationship Type="http://schemas.openxmlformats.org/officeDocument/2006/relationships/hyperlink" Target="https://doi.org/10.1111/jofi.13249" TargetMode="External" Id="rId11"/><Relationship Type="http://schemas.openxmlformats.org/officeDocument/2006/relationships/hyperlink" Target="https://doi.org/10.1561/104.00000112" TargetMode="External" Id="rId12"/><Relationship Type="http://schemas.openxmlformats.org/officeDocument/2006/relationships/hyperlink" Target="https://doi.org/10.1016/j.jfineco.2019.09.011" TargetMode="External" Id="rId13"/><Relationship Type="http://schemas.openxmlformats.org/officeDocument/2006/relationships/hyperlink" Target="https://doi.org/10.1093/rfs/hhz085" TargetMode="External" Id="rId14"/><Relationship Type="http://schemas.openxmlformats.org/officeDocument/2006/relationships/hyperlink" Target="https://doi.org/10.1093/rfs/hhaa009" TargetMode="External" Id="rId15"/><Relationship Type="http://schemas.openxmlformats.org/officeDocument/2006/relationships/hyperlink" Target="https://doi.org/10.1093/rfs/hhv063" TargetMode="External" Id="rId16"/><Relationship Type="http://schemas.openxmlformats.org/officeDocument/2006/relationships/hyperlink" Target="https://doi.org/10.1561/104.00000024" TargetMode="External" Id="rId17"/><Relationship Type="http://schemas.openxmlformats.org/officeDocument/2006/relationships/hyperlink" Target="https://doi.org/10.3905/jpm.2014.40.5.094" TargetMode="External" Id="rId18"/><Relationship Type="http://schemas.openxmlformats.org/officeDocument/2006/relationships/hyperlink" Target="https://doi.org/10.1111/jofi.12080" TargetMode="External" Id="rId19"/><Relationship Type="http://schemas.openxmlformats.org/officeDocument/2006/relationships/hyperlink" Target="https://doi.org/10.1016/j.jbankfin.2026.107746" TargetMode="External" Id="rId20"/><Relationship Type="http://schemas.openxmlformats.org/officeDocument/2006/relationships/hyperlink" Target="https://arxiv.org/abs/2512.23596" TargetMode="External" Id="rId21"/><Relationship Type="http://schemas.openxmlformats.org/officeDocument/2006/relationships/hyperlink" Target="https://doi.org/10.1111/eufm.70033" TargetMode="External" Id="rId22"/><Relationship Type="http://schemas.openxmlformats.org/officeDocument/2006/relationships/hyperlink" Target="https://doi.org/10.1016/j.finmar.2025.101042" TargetMode="External" Id="rId23"/><Relationship Type="http://schemas.openxmlformats.org/officeDocument/2006/relationships/hyperlink" Target="https://doi.org/10.1287/mnsc.2023.4695" TargetMode="External" Id="rId24"/><Relationship Type="http://schemas.openxmlformats.org/officeDocument/2006/relationships/hyperlink" Target="https://doi.org/10.1093/rfs/hhab041" TargetMode="External" Id="rId25"/><Relationship Type="http://schemas.openxmlformats.org/officeDocument/2006/relationships/hyperlink" Target="https://doi.org/10.1016/j.finmar.2020.100588" TargetMode="External" Id="rId26"/><Relationship Type="http://schemas.openxmlformats.org/officeDocument/2006/relationships/hyperlink" Target="https://doi.org/10.1093/rfs/hhaa017" TargetMode="External" Id="rId27"/><Relationship Type="http://schemas.openxmlformats.org/officeDocument/2006/relationships/hyperlink" Target="https://papers.ssrn.com/sol3/papers.cfm?abstract_id=3229719" TargetMode="External" Id="rId28"/><Relationship Type="http://schemas.openxmlformats.org/officeDocument/2006/relationships/hyperlink" Target="https://doi.org/10.1111/jofi.12365" TargetMode="External" Id="rId29"/><Relationship Type="http://schemas.openxmlformats.org/officeDocument/2006/relationships/hyperlink" Target="https://doi.org/10.1093/rfs/hhp063" TargetMode="External" Id="rId30"/><Relationship Type="http://schemas.openxmlformats.org/officeDocument/2006/relationships/hyperlink" Target="https://doi.org/10.1093/rfs/hhp003" TargetMode="External" Id="rId31"/><Relationship Type="http://schemas.openxmlformats.org/officeDocument/2006/relationships/hyperlink" Target="https://www.blackrock.com/gls-download/literature/whitepaper/augmented-investment-management.pdf" TargetMode="External" Id="rId32"/><Relationship Type="http://schemas.openxmlformats.org/officeDocument/2006/relationships/hyperlink" Target="https://doi.org/10.1111/jofi.13298" TargetMode="External" Id="rId33"/><Relationship Type="http://schemas.openxmlformats.org/officeDocument/2006/relationships/hyperlink" Target="https://doi.org/10.1016/j.jedc.2023.104725" TargetMode="External" Id="rId34"/><Relationship Type="http://schemas.openxmlformats.org/officeDocument/2006/relationships/hyperlink" Target="https://doi.org/10.3905/jfds.2019.1.064" TargetMode="External" Id="rId35"/><Relationship Type="http://schemas.openxmlformats.org/officeDocument/2006/relationships/hyperlink" Target="https://doi.org/10.21314/JCF.2016.322" TargetMode="External" Id="rId36"/><Relationship Type="http://schemas.openxmlformats.org/officeDocument/2006/relationships/hyperlink" Target="https://doi.org/10.1093/rfs/hhv059" TargetMode="External" Id="rId37"/><Relationship Type="http://schemas.openxmlformats.org/officeDocument/2006/relationships/hyperlink" Target="https://doi.org/10.1016/j.jempfin.2008.03.002" TargetMode="External" Id="rId38"/><Relationship Type="http://schemas.openxmlformats.org/officeDocument/2006/relationships/hyperlink" Target="https://doi.org/10.1198/073500105000000063" TargetMode="External" Id="rId39"/><Relationship Type="http://schemas.openxmlformats.org/officeDocument/2006/relationships/hyperlink" Target="https://doi.org/10.1111/1468-0262.00152" TargetMode="External" Id="rId40"/><Relationship Type="http://schemas.openxmlformats.org/officeDocument/2006/relationships/hyperlink" Target="https://doi.org/10.1093/rfs/hhae036" TargetMode="External" Id="rId41"/><Relationship Type="http://schemas.openxmlformats.org/officeDocument/2006/relationships/hyperlink" Target="https://doi.org/10.1093/rfs/hhae003" TargetMode="External" Id="rId42"/><Relationship Type="http://schemas.openxmlformats.org/officeDocument/2006/relationships/hyperlink" Target="https://doi.org/10.1016/j.jfineco.2024.103916" TargetMode="External" Id="rId43"/><Relationship Type="http://schemas.openxmlformats.org/officeDocument/2006/relationships/hyperlink" Target="https://doi.org/10.1080/14697688.2022.2162432" TargetMode="External" Id="rId44"/><Relationship Type="http://schemas.openxmlformats.org/officeDocument/2006/relationships/hyperlink" Target="https://doi.org/10.1561/500000064" TargetMode="External" Id="rId45"/><Relationship Type="http://schemas.openxmlformats.org/officeDocument/2006/relationships/hyperlink" Target="https://doi.org/10.1287/mnsc.2020.3922" TargetMode="External" Id="rId46"/><Relationship Type="http://schemas.openxmlformats.org/officeDocument/2006/relationships/hyperlink" Target="https://doi.org/10.1093/rfs/hhz123" TargetMode="External" Id="rId47"/><Relationship Type="http://schemas.openxmlformats.org/officeDocument/2006/relationships/hyperlink" Target="https://doi.org/10.1093/rfs/hhy131" TargetMode="External" Id="rId48"/><Relationship Type="http://schemas.openxmlformats.org/officeDocument/2006/relationships/hyperlink" Target="https://doi.org/10.1016/j.jfineco.2019.06.008" TargetMode="External" Id="rId49"/><Relationship Type="http://schemas.openxmlformats.org/officeDocument/2006/relationships/hyperlink" Target="https://doi.org/10.1080/0015198X.2019.1596678" TargetMode="External" Id="rId50"/><Relationship Type="http://schemas.openxmlformats.org/officeDocument/2006/relationships/hyperlink" Target="https://doi.org/10.1111/jofi.12530" TargetMode="External" Id="rId51"/><Relationship Type="http://schemas.openxmlformats.org/officeDocument/2006/relationships/hyperlink" Target="https://doi.org/10.1093/rfs/hhx052" TargetMode="External" Id="rId52"/><Relationship Type="http://schemas.openxmlformats.org/officeDocument/2006/relationships/hyperlink" Target="https://doi.org/10.1016/j.jfineco.2015.12.002" TargetMode="External" Id="rId53"/><Relationship Type="http://schemas.openxmlformats.org/officeDocument/2006/relationships/hyperlink" Target="https://doi.org/10.3905/jpm.2015.42.1.013" TargetMode="External" Id="rId54"/><Relationship Type="http://schemas.openxmlformats.org/officeDocument/2006/relationships/hyperlink" Target="https://doi.org/10.3905/jpm.2012.2012.1.021" TargetMode="External" Id="rId55"/><Relationship Type="http://schemas.openxmlformats.org/officeDocument/2006/relationships/hyperlink" Target="https://doi.org/10.1016/j.jfineco.2011.12.001" TargetMode="External" Id="rId56"/><Relationship Type="http://schemas.openxmlformats.org/officeDocument/2006/relationships/hyperlink" Target="https://doi.org/10.3982/ecta5771" TargetMode="External" Id="rId57"/><Relationship Type="http://schemas.openxmlformats.org/officeDocument/2006/relationships/hyperlink" Target="https://doi.org/10.1093/rfs/hhm075" TargetMode="External" Id="rId58"/><Relationship Type="http://schemas.openxmlformats.org/officeDocument/2006/relationships/hyperlink" Target="https://doi.org/10.1111/j.1540-6261.2009.01469.x" TargetMode="External" Id="rId59"/><Relationship Type="http://schemas.openxmlformats.org/officeDocument/2006/relationships/hyperlink" Target="https://doi.org/10.1016/j.jeconom.2006.05.023" TargetMode="External" Id="rId60"/><Relationship Type="http://schemas.openxmlformats.org/officeDocument/2006/relationships/hyperlink" Target="https://doi.org/10.1111/j.1468-0262.2005.00615.x" TargetMode="External" Id="rId61"/><Relationship Type="http://schemas.openxmlformats.org/officeDocument/2006/relationships/hyperlink" Target="https://doi.org/10.2469/faj.v58.n5.2468" TargetMode="External" Id="rId62"/><Relationship Type="http://schemas.openxmlformats.org/officeDocument/2006/relationships/hyperlink" Target="https://doi.org/10.2469/faj.v58.n4.2453" TargetMode="External" Id="rId63"/><Relationship Type="http://schemas.openxmlformats.org/officeDocument/2006/relationships/hyperlink" Target="https://doi.org/10.1111/j.1540-6261.1997.tb03818.x" TargetMode="External" Id="rId64"/><Relationship Type="http://schemas.openxmlformats.org/officeDocument/2006/relationships/hyperlink" Target="https://doi.org/10.1080/07350015.1995.10524599" TargetMode="External" Id="rId65"/><Relationship Type="http://schemas.openxmlformats.org/officeDocument/2006/relationships/hyperlink" Target="https://doi.org/10.1080/01621459.1994.10476870" TargetMode="External" Id="rId66"/><Relationship Type="http://schemas.openxmlformats.org/officeDocument/2006/relationships/hyperlink" Target="https://doi.org/10.3905/jpm.1989.409211" TargetMode="External" Id="rId67"/><Relationship Type="http://schemas.openxmlformats.org/officeDocument/2006/relationships/hyperlink" Target="https://doi.org/10.2307/1913610" TargetMode="External" Id="rId68"/><Relationship Type="http://schemas.openxmlformats.org/officeDocument/2006/relationships/hyperlink" Target="https://doi.org/10.1111/jofi.13477" TargetMode="External" Id="rId69"/><Relationship Type="http://schemas.openxmlformats.org/officeDocument/2006/relationships/hyperlink" Target="https://doi.org/10.1016/j.jfineco.2025.104024" TargetMode="External" Id="rId70"/><Relationship Type="http://schemas.openxmlformats.org/officeDocument/2006/relationships/hyperlink" Target="https://doi.org/10.1007/s10479-024-06266-0" TargetMode="External" Id="rId71"/><Relationship Type="http://schemas.openxmlformats.org/officeDocument/2006/relationships/hyperlink" Target="https://doi.org/10.1093/rapstu/raad010" TargetMode="External" Id="rId72"/><Relationship Type="http://schemas.openxmlformats.org/officeDocument/2006/relationships/hyperlink" Target="https://doi.org/10.1007/s10479-023-05539-4" TargetMode="External" Id="rId73"/><Relationship Type="http://schemas.openxmlformats.org/officeDocument/2006/relationships/hyperlink" Target="https://doi.org/10.1080/14697688.2023.2236148" TargetMode="External" Id="rId74"/><Relationship Type="http://schemas.openxmlformats.org/officeDocument/2006/relationships/hyperlink" Target="https://doi.org/10.1111/jofi.13225" TargetMode="External" Id="rId75"/><Relationship Type="http://schemas.openxmlformats.org/officeDocument/2006/relationships/hyperlink" Target="https://doi.org/10.1111/jofi.13199" TargetMode="External" Id="rId76"/><Relationship Type="http://schemas.openxmlformats.org/officeDocument/2006/relationships/hyperlink" Target="https://doi.org/10.1287/mnsc.2021.4155" TargetMode="External" Id="rId77"/><Relationship Type="http://schemas.openxmlformats.org/officeDocument/2006/relationships/hyperlink" Target="https://doi.org/10.1111/jofi.13131" TargetMode="External" Id="rId78"/><Relationship Type="http://schemas.openxmlformats.org/officeDocument/2006/relationships/hyperlink" Target="https://doi.org/10.1146/annurev-financial-101521-104735" TargetMode="External" Id="rId79"/><Relationship Type="http://schemas.openxmlformats.org/officeDocument/2006/relationships/hyperlink" Target="https://doi.org/10.1016/j.jfineco.2021.08.017" TargetMode="External" Id="rId80"/><Relationship Type="http://schemas.openxmlformats.org/officeDocument/2006/relationships/hyperlink" Target="https://doi.org/10.1016/j.jeconom.2020.07.009" TargetMode="External" Id="rId81"/><Relationship Type="http://schemas.openxmlformats.org/officeDocument/2006/relationships/hyperlink" Target="https://doi.org/10.1093/rfs/hhaa111" TargetMode="External" Id="rId82"/><Relationship Type="http://schemas.openxmlformats.org/officeDocument/2006/relationships/hyperlink" Target="https://doi.org/10.3905/jfds.2021.1.062" TargetMode="External" Id="rId83"/><Relationship Type="http://schemas.openxmlformats.org/officeDocument/2006/relationships/hyperlink" Target="https://doi.org/10.1111/rssb.12377" TargetMode="External" Id="rId84"/><Relationship Type="http://schemas.openxmlformats.org/officeDocument/2006/relationships/hyperlink" Target="https://doi.org/10.1016/j.jfineco.2020.04.015" TargetMode="External" Id="rId85"/><Relationship Type="http://schemas.openxmlformats.org/officeDocument/2006/relationships/hyperlink" Target="https://doi.org/10.1111/jofi.12883" TargetMode="External" Id="rId86"/><Relationship Type="http://schemas.openxmlformats.org/officeDocument/2006/relationships/hyperlink" Target="https://doi.org/10.1016/j.jfineco.2020.02.012" TargetMode="External" Id="rId87"/><Relationship Type="http://schemas.openxmlformats.org/officeDocument/2006/relationships/hyperlink" Target="https://doi.org/10.1016/j.jfineco.2019.05.001" TargetMode="External" Id="rId88"/><Relationship Type="http://schemas.openxmlformats.org/officeDocument/2006/relationships/hyperlink" Target="https://doi.org/10.1080/0015198x.2018.1547057" TargetMode="External" Id="rId89"/><Relationship Type="http://schemas.openxmlformats.org/officeDocument/2006/relationships/hyperlink" Target="https://doi.org/10.1080/14697688.2017.1342857" TargetMode="External" Id="rId90"/><Relationship Type="http://schemas.openxmlformats.org/officeDocument/2006/relationships/hyperlink" Target="https://doi.org/10.1093/rfs/hhx084" TargetMode="External" Id="rId91"/><Relationship Type="http://schemas.openxmlformats.org/officeDocument/2006/relationships/hyperlink" Target="https://doi.org/10.1093/rfs/hhx019" TargetMode="External" Id="rId92"/><Relationship Type="http://schemas.openxmlformats.org/officeDocument/2006/relationships/hyperlink" Target="https://doi.org/10.1093/rfs/hhw102" TargetMode="External" Id="rId93"/><Relationship Type="http://schemas.openxmlformats.org/officeDocument/2006/relationships/hyperlink" Target="https://doi.org/10.1111/jofi.12513" TargetMode="External" Id="rId94"/><Relationship Type="http://schemas.openxmlformats.org/officeDocument/2006/relationships/hyperlink" Target="https://doi.org/10.3982/ecta10486" TargetMode="External" Id="rId95"/><Relationship Type="http://schemas.openxmlformats.org/officeDocument/2006/relationships/hyperlink" Target="https://doi.org/10.3905/jpm.2016.42.4.059" TargetMode="External" Id="rId96"/><Relationship Type="http://schemas.openxmlformats.org/officeDocument/2006/relationships/hyperlink" Target="https://doi.org/10.1016/j.jfineco.2014.11.010" TargetMode="External" Id="rId97"/><Relationship Type="http://schemas.openxmlformats.org/officeDocument/2006/relationships/hyperlink" Target="https://doi.org/10.1016/j.jfineco.2014.10.010" TargetMode="External" Id="rId98"/><Relationship Type="http://schemas.openxmlformats.org/officeDocument/2006/relationships/hyperlink" Target="https://doi.org/10.1093/rfs/hhu068" TargetMode="External" Id="rId99"/><Relationship Type="http://schemas.openxmlformats.org/officeDocument/2006/relationships/hyperlink" Target="https://doi.org/10.1016/j.jacceco.2014.06.001" TargetMode="External" Id="rId100"/><Relationship Type="http://schemas.openxmlformats.org/officeDocument/2006/relationships/hyperlink" Target="https://doi.org/10.1146/annurev-financial-110311-101808" TargetMode="External" Id="rId101"/><Relationship Type="http://schemas.openxmlformats.org/officeDocument/2006/relationships/hyperlink" Target="https://doi.org/10.1111/j.1540-6261.2012.01729.x" TargetMode="External" Id="rId102"/><Relationship Type="http://schemas.openxmlformats.org/officeDocument/2006/relationships/hyperlink" Target="https://doi.org/10.1017/s0022109012000117" TargetMode="External" Id="rId103"/><Relationship Type="http://schemas.openxmlformats.org/officeDocument/2006/relationships/hyperlink" Target="https://doi.org/10.1111/j.1540-6261.2011.01671.x" TargetMode="External" Id="rId104"/><Relationship Type="http://schemas.openxmlformats.org/officeDocument/2006/relationships/hyperlink" Target="https://doi.org/10.3905/jpm.2008.709976" TargetMode="External" Id="rId105"/><Relationship Type="http://schemas.openxmlformats.org/officeDocument/2006/relationships/hyperlink" Target="https://doi.org/10.1093/rfs/hhm014" TargetMode="External" Id="rId106"/><Relationship Type="http://schemas.openxmlformats.org/officeDocument/2006/relationships/hyperlink" Target="https://doi.org/10.1017/s0022109000004129" TargetMode="External" Id="rId107"/><Relationship Type="http://schemas.openxmlformats.org/officeDocument/2006/relationships/hyperlink" Target="https://doi.org/10.1111/j.1540-6261.2006.00885.x" TargetMode="External" Id="rId108"/><Relationship Type="http://schemas.openxmlformats.org/officeDocument/2006/relationships/hyperlink" Target="https://doi.org/10.1111/j.1540-6261.2004.00656.x" TargetMode="External" Id="rId109"/><Relationship Type="http://schemas.openxmlformats.org/officeDocument/2006/relationships/hyperlink" Target="https://doi.org/10.3905/jpm.2004.110" TargetMode="External" Id="rId110"/><Relationship Type="http://schemas.openxmlformats.org/officeDocument/2006/relationships/hyperlink" Target="https://doi.org/10.1287/moor.28.1.1.14260" TargetMode="External" Id="rId111"/><Relationship Type="http://schemas.openxmlformats.org/officeDocument/2006/relationships/hyperlink" Target="https://doi.org/10.1111/1540-6261.00580" TargetMode="External" Id="rId112"/><Relationship Type="http://schemas.openxmlformats.org/officeDocument/2006/relationships/hyperlink" Target="https://doi.org/10.1086/374184" TargetMode="External" Id="rId113"/><Relationship Type="http://schemas.openxmlformats.org/officeDocument/2006/relationships/hyperlink" Target="https://doi.org/10.1016/s1386-4181(01)00024-6" TargetMode="External" Id="rId114"/><Relationship Type="http://schemas.openxmlformats.org/officeDocument/2006/relationships/hyperlink" Target="https://doi.org/10.21314/jor.2001.041" TargetMode="External" Id="rId115"/><Relationship Type="http://schemas.openxmlformats.org/officeDocument/2006/relationships/hyperlink" Target="https://doi.org/10.1023/a:1010933404324" TargetMode="External" Id="rId116"/><Relationship Type="http://schemas.openxmlformats.org/officeDocument/2006/relationships/hyperlink" Target="https://doi.org/10.1214/aos/1013203451" TargetMode="External" Id="rId117"/><Relationship Type="http://schemas.openxmlformats.org/officeDocument/2006/relationships/hyperlink" Target="https://doi.org/10.2307/2998540" TargetMode="External" Id="rId118"/><Relationship Type="http://schemas.openxmlformats.org/officeDocument/2006/relationships/hyperlink" Target="https://doi.org/10.1111/j.2517-6161.1995.tb02031.x" TargetMode="External" Id="rId119"/><Relationship Type="http://schemas.openxmlformats.org/officeDocument/2006/relationships/hyperlink" Target="https://doi.org/10.1016/0304-405x(93)90023-5" TargetMode="External" Id="rId120"/><Relationship Type="http://schemas.openxmlformats.org/officeDocument/2006/relationships/hyperlink" Target="https://doi.org/10.2469/faj.v48.n5.28" TargetMode="External" Id="rId121"/><Relationship Type="http://schemas.openxmlformats.org/officeDocument/2006/relationships/hyperlink" Target="https://doi.org/10.1162/neco.1991.3.1.79" TargetMode="External" Id="rId122"/><Relationship Type="http://schemas.openxmlformats.org/officeDocument/2006/relationships/hyperlink" Target="https://doi.org/10.2469/cp.v1989.n4.6" TargetMode="External" Id="rId123"/><Relationship Type="http://schemas.openxmlformats.org/officeDocument/2006/relationships/hyperlink" Target="https://doi.org/10.1111/j.1540-6261.1981.tb04891.x" TargetMode="External" Id="rId124"/><Relationship Type="http://schemas.openxmlformats.org/officeDocument/2006/relationships/hyperlink" Target="https://doi.org/10.1086/260061" TargetMode="External" Id="rId125"/><Relationship Type="http://schemas.openxmlformats.org/officeDocument/2006/relationships/hyperlink" Target="https://doi.org/10.1111/j.1540-6261.1952.tb01525.x" TargetMode="External" Id="rId126"/><Relationship Type="http://schemas.openxmlformats.org/officeDocument/2006/relationships/hyperlink" Target="https://doi.org/10.1093/rfs/hhad017" TargetMode="External" Id="rId127"/><Relationship Type="http://schemas.openxmlformats.org/officeDocument/2006/relationships/hyperlink" Target="https://doi.org/10.1145/3580305.3599315" TargetMode="External" Id="rId128"/><Relationship Type="http://schemas.openxmlformats.org/officeDocument/2006/relationships/hyperlink" Target="https://doi.org/10.1016/j.ememar.2023.101022" TargetMode="External" Id="rId129"/><Relationship Type="http://schemas.openxmlformats.org/officeDocument/2006/relationships/hyperlink" Target="https://doi.org/10.1111/jofi.13268" TargetMode="External" Id="rId130"/><Relationship Type="http://schemas.openxmlformats.org/officeDocument/2006/relationships/hyperlink" Target="https://doi.org/10.1093/rfs/hhac085" TargetMode="External" Id="rId131"/><Relationship Type="http://schemas.openxmlformats.org/officeDocument/2006/relationships/hyperlink" Target="https://doi.org/10.1111/jofi.13099" TargetMode="External" Id="rId132"/><Relationship Type="http://schemas.openxmlformats.org/officeDocument/2006/relationships/hyperlink" Target="https://doi.org/10.1093/rfs/hhaa062" TargetMode="External" Id="rId133"/><Relationship Type="http://schemas.openxmlformats.org/officeDocument/2006/relationships/hyperlink" Target="https://doi.org/10.1016/j.jfineco.2020.06.024" TargetMode="External" Id="rId134"/><Relationship Type="http://schemas.openxmlformats.org/officeDocument/2006/relationships/hyperlink" Target="https://doi.org/10.1093/rfs/hhaa020" TargetMode="External" Id="rId135"/><Relationship Type="http://schemas.openxmlformats.org/officeDocument/2006/relationships/hyperlink" Target="https://doi.org/10.1111/jofi.12876" TargetMode="External" Id="rId136"/><Relationship Type="http://schemas.openxmlformats.org/officeDocument/2006/relationships/hyperlink" Target="https://doi.org/10.3905/jfds.2020.1.042" TargetMode="External" Id="rId137"/><Relationship Type="http://schemas.openxmlformats.org/officeDocument/2006/relationships/hyperlink" Target="https://doi.org/10.1111/jofi.12733" TargetMode="External" Id="rId138"/><Relationship Type="http://schemas.openxmlformats.org/officeDocument/2006/relationships/hyperlink" Target="https://doi.org/10.3905/jfds.2019.1.015" TargetMode="External" Id="rId139"/><Relationship Type="http://schemas.openxmlformats.org/officeDocument/2006/relationships/hyperlink" Target="https://doi.org/10.1016/j.ejor.2017.11.054" TargetMode="External" Id="rId140"/><Relationship Type="http://schemas.openxmlformats.org/officeDocument/2006/relationships/hyperlink" Target="https://doi.org/10.1111/jofi.12612" TargetMode="External" Id="rId141"/><Relationship Type="http://schemas.openxmlformats.org/officeDocument/2006/relationships/hyperlink" Target="https://doi.org/10.1016/j.ejor.2016.10.031" TargetMode="External" Id="rId142"/><Relationship Type="http://schemas.openxmlformats.org/officeDocument/2006/relationships/hyperlink" Target="https://doi.org/10.1093/rfs/hhw107" TargetMode="External" Id="rId143"/><Relationship Type="http://schemas.openxmlformats.org/officeDocument/2006/relationships/hyperlink" Target="https://doi.org/10.1093/rfs/hhu080" TargetMode="External" Id="rId144"/><Relationship Type="http://schemas.openxmlformats.org/officeDocument/2006/relationships/hyperlink" Target="https://doi.org/10.1016/j.jeconom.2015.02.011" TargetMode="External" Id="rId145"/><Relationship Type="http://schemas.openxmlformats.org/officeDocument/2006/relationships/hyperlink" Target="https://doi.org/10.1016/j.ejor.2013.03.032" TargetMode="External" Id="rId146"/><Relationship Type="http://schemas.openxmlformats.org/officeDocument/2006/relationships/hyperlink" Target="https://doi.org/10.1016/j.jfineco.2013.10.005" TargetMode="External" Id="rId147"/><Relationship Type="http://schemas.openxmlformats.org/officeDocument/2006/relationships/hyperlink" Target="https://doi.org/10.1111/jofi.12021" TargetMode="External" Id="rId148"/><Relationship Type="http://schemas.openxmlformats.org/officeDocument/2006/relationships/hyperlink" Target="https://doi.org/10.2469/faj.v68.n3.3" TargetMode="External" Id="rId149"/><Relationship Type="http://schemas.openxmlformats.org/officeDocument/2006/relationships/hyperlink" Target="https://doi.org/10.1287/opre.1090.0741" TargetMode="External" Id="rId150"/><Relationship Type="http://schemas.openxmlformats.org/officeDocument/2006/relationships/hyperlink" Target="https://doi.org/10.3905/jpm.2010.36.4.060" TargetMode="External" Id="rId151"/><Relationship Type="http://schemas.openxmlformats.org/officeDocument/2006/relationships/hyperlink" Target="https://doi.org/10.3905/jpm.2008.35.1.40" TargetMode="External" Id="rId152"/><Relationship Type="http://schemas.openxmlformats.org/officeDocument/2006/relationships/hyperlink" Target="https://doi.org/10.1111/j.1540-6261.2008.01379.x" TargetMode="External" Id="rId153"/><Relationship Type="http://schemas.openxmlformats.org/officeDocument/2006/relationships/hyperlink" Target="https://doi.org/10.1093/rfs/hhm055" TargetMode="External" Id="rId154"/><Relationship Type="http://schemas.openxmlformats.org/officeDocument/2006/relationships/hyperlink" Target="https://doi.org/10.1016/j.jedc.2006.12.004" TargetMode="External" Id="rId155"/><Relationship Type="http://schemas.openxmlformats.org/officeDocument/2006/relationships/hyperlink" Target="https://doi.org/10.1111/j.1540-6261.2006.00836.x" TargetMode="External" Id="rId156"/><Relationship Type="http://schemas.openxmlformats.org/officeDocument/2006/relationships/hyperlink" Target="https://doi.org/10.1111/j.1467-9868.2005.00503.x" TargetMode="External" Id="rId157"/><Relationship Type="http://schemas.openxmlformats.org/officeDocument/2006/relationships/hyperlink" Target="https://doi.org/10.1016/s0304-405x(03)00206-x" TargetMode="External" Id="rId158"/><Relationship Type="http://schemas.openxmlformats.org/officeDocument/2006/relationships/hyperlink" Target="https://doi.org/10.1093/rfs/15.4.1137" TargetMode="External" Id="rId159"/><Relationship Type="http://schemas.openxmlformats.org/officeDocument/2006/relationships/hyperlink" Target="https://doi.org/10.1109/72.935097" TargetMode="External" Id="rId160"/><Relationship Type="http://schemas.openxmlformats.org/officeDocument/2006/relationships/hyperlink" Target="https://doi.org/10.21314/jor.2000.038" TargetMode="External" Id="rId161"/><Relationship Type="http://schemas.openxmlformats.org/officeDocument/2006/relationships/hyperlink" Target="https://doi.org/10.1111/j.1540-6261.1997.tb03808.x" TargetMode="External" Id="rId162"/><Relationship Type="http://schemas.openxmlformats.org/officeDocument/2006/relationships/hyperlink" Target="https://doi.org/10.1162/neco.1997.9.8.1735" TargetMode="External" Id="rId163"/><Relationship Type="http://schemas.openxmlformats.org/officeDocument/2006/relationships/hyperlink" Target="https://doi.org/10.1111/j.2517-6161.1996.tb02080.x" TargetMode="External" Id="rId164"/><Relationship Type="http://schemas.openxmlformats.org/officeDocument/2006/relationships/hyperlink" Target="https://doi.org/10.2307/1912559" TargetMode="External" Id="rId165"/><Relationship Type="http://schemas.openxmlformats.org/officeDocument/2006/relationships/hyperlink" Target="https://doi.org/10.1016/j.jfineco.2023.07.004" TargetMode="External" Id="rId166"/><Relationship Type="http://schemas.openxmlformats.org/officeDocument/2006/relationships/hyperlink" Target="https://doi.org/10.1016/j.jfineco.2021.06.002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8" customWidth="1" min="3" max="3"/>
    <col width="7" customWidth="1" min="4" max="4"/>
    <col width="32" customWidth="1" min="5" max="5"/>
    <col width="18" customWidth="1" min="6" max="6"/>
    <col width="34" customWidth="1" min="7" max="7"/>
    <col width="22" customWidth="1" min="8" max="8"/>
    <col width="9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11" customWidth="1" min="30" max="30"/>
    <col width="36" customWidth="1" min="31" max="31"/>
    <col width="30" customWidth="1" min="32" max="32"/>
  </cols>
  <sheetData>
    <row r="1" ht="34" customHeight="1">
      <c r="A1" s="1" t="inlineStr">
        <is>
          <t>Paper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Journal Tier</t>
        </is>
      </c>
      <c r="G1" s="1" t="inlineStr">
        <is>
          <t>DOI / URL</t>
        </is>
      </c>
      <c r="H1" s="1" t="inlineStr">
        <is>
          <t>Strand</t>
        </is>
      </c>
      <c r="I1" s="1" t="inlineStr">
        <is>
          <t>Core paper?</t>
        </is>
      </c>
      <c r="J1" s="1" t="inlineStr">
        <is>
          <t>Research Question</t>
        </is>
      </c>
      <c r="K1" s="1" t="inlineStr">
        <is>
          <t>Data</t>
        </is>
      </c>
      <c r="L1" s="1" t="inlineStr">
        <is>
          <t>Universe</t>
        </is>
      </c>
      <c r="M1" s="1" t="inlineStr">
        <is>
          <t>Frequency</t>
        </is>
      </c>
      <c r="N1" s="1" t="inlineStr">
        <is>
          <t>Features</t>
        </is>
      </c>
      <c r="O1" s="1" t="inlineStr">
        <is>
          <t>ML Method</t>
        </is>
      </c>
      <c r="P1" s="1" t="inlineStr">
        <is>
          <t>Signal Method</t>
        </is>
      </c>
      <c r="Q1" s="1" t="inlineStr">
        <is>
          <t>Portfolio Method</t>
        </is>
      </c>
      <c r="R1" s="1" t="inlineStr">
        <is>
          <t>Benchmark</t>
        </is>
      </c>
      <c r="S1" s="1" t="inlineStr">
        <is>
          <t>Evaluation Metrics</t>
        </is>
      </c>
      <c r="T1" s="1" t="inlineStr">
        <is>
          <t>Backtest Period</t>
        </is>
      </c>
      <c r="U1" s="1" t="inlineStr">
        <is>
          <t>Transaction Costs</t>
        </is>
      </c>
      <c r="V1" s="1" t="inlineStr">
        <is>
          <t>Turnover</t>
        </is>
      </c>
      <c r="W1" s="1" t="inlineStr">
        <is>
          <t>Risk Controls</t>
        </is>
      </c>
      <c r="X1" s="1" t="inlineStr">
        <is>
          <t>Performance (main result)</t>
        </is>
      </c>
      <c r="Y1" s="1" t="inlineStr">
        <is>
          <t>Main Contribution</t>
        </is>
      </c>
      <c r="Z1" s="1" t="inlineStr">
        <is>
          <t>Main Limitation</t>
        </is>
      </c>
      <c r="AA1" s="1" t="inlineStr">
        <is>
          <t>What Was Not Solved</t>
        </is>
      </c>
      <c r="AB1" s="1" t="inlineStr">
        <is>
          <t>Research Gap</t>
        </is>
      </c>
      <c r="AC1" s="1" t="inlineStr">
        <is>
          <t>Potential Extension</t>
        </is>
      </c>
      <c r="AD1" s="1" t="inlineStr">
        <is>
          <t>Relevance to Us (1-5)</t>
        </is>
      </c>
      <c r="AE1" s="1" t="inlineStr">
        <is>
          <t>How We Use It / Note</t>
        </is>
      </c>
      <c r="AF1" s="1" t="inlineStr">
        <is>
          <t>DOI Verification Status</t>
        </is>
      </c>
    </row>
    <row r="2">
      <c r="A2" s="2" t="inlineStr">
        <is>
          <t>JKMP2026</t>
        </is>
      </c>
      <c r="B2" s="2" t="inlineStr">
        <is>
          <t>Machine Learning and the Implementable Efficient Frontier</t>
        </is>
      </c>
      <c r="C2" s="2" t="inlineStr">
        <is>
          <t>Jensen, T.I.; Kelly, B.; Malamud, S.; Pedersen, L.H.</t>
        </is>
      </c>
      <c r="D2" s="3" t="n">
        <v>2026</v>
      </c>
      <c r="E2" s="2" t="inlineStr">
        <is>
          <t>Review of Financial Studies (published online 2026)</t>
        </is>
      </c>
      <c r="F2" s="2" t="inlineStr">
        <is>
          <t>T1 General Finance</t>
        </is>
      </c>
      <c r="G2" s="4" t="inlineStr">
        <is>
          <t>https://doi.org/10.1093/rfs/hhag022</t>
        </is>
      </c>
      <c r="H2" s="2" t="inlineStr">
        <is>
          <t>ML strategies &amp; implementability</t>
        </is>
      </c>
      <c r="I2" s="3" t="inlineStr">
        <is>
          <t>Yes</t>
        </is>
      </c>
      <c r="J2" s="2" t="inlineStr">
        <is>
          <t>How should ML be used so that portfolios deliver the best risk-return trade-off net of trading costs?</t>
        </is>
      </c>
      <c r="K2" s="2" t="inlineStr">
        <is>
          <t>JKP global characteristics dataset (US monthly characteristics, daily and monthly returns); WRDS access required (code README)</t>
        </is>
      </c>
      <c r="L2" s="2" t="inlineStr">
        <is>
          <t>US stocks</t>
        </is>
      </c>
      <c r="M2" s="2" t="inlineStr">
        <is>
          <t>Monthly characteristics; daily returns for risk estimation</t>
        </is>
      </c>
      <c r="N2" s="2" t="inlineStr">
        <is>
          <t>JKP firm characteristics (about 150, clustered into 13 themes)</t>
        </is>
      </c>
      <c r="O2" s="2" t="inlineStr">
        <is>
          <t>Ridge-type regressions on random Fourier features; separate models for returns at horizons t+1..t+12 (code README)</t>
        </is>
      </c>
      <c r="P2" s="2" t="inlineStr">
        <is>
          <t>Learned jointly with the portfolio objective in Portfolio-ML; prediction-first in Markowitz-ML / Static-ML</t>
        </is>
      </c>
      <c r="Q2" s="2" t="inlineStr">
        <is>
          <t>Trading-cost-aware optimisation; methods compared: Portfolio-ML, Static-ML, Static-ML*, Markowitz-ML, portfolio sorts</t>
        </is>
      </c>
      <c r="R2" s="2" t="inlineStr">
        <is>
          <t>Markowitz-ML, portfolio sort, 1/N, market [verify full list]</t>
        </is>
      </c>
      <c r="S2" s="2" t="inlineStr">
        <is>
          <t>Implementable efficient frontier (net return per unit of risk), net Sharpe ratio, utility, economic feature importance</t>
        </is>
      </c>
      <c r="T2" s="2" t="inlineStr">
        <is>
          <t>US out-of-sample period [verify dates]</t>
        </is>
      </c>
      <c r="U2" s="2" t="inlineStr">
        <is>
          <t>Explicit trading-cost model entering the optimisation (price impact increasing in trade size relative to liquidity) [verify calibration]</t>
        </is>
      </c>
      <c r="V2" s="2" t="inlineStr">
        <is>
          <t>Controlled endogenously through the cost-aware objective</t>
        </is>
      </c>
      <c r="W2" s="2" t="inlineStr">
        <is>
          <t>Covariance estimate inside the mean-variance utility</t>
        </is>
      </c>
      <c r="X2" s="2" t="inlineStr">
        <is>
          <t>After costs, Markowitz-ML and sorts have downward-bending frontiers; Static-ML earns positive net Sharpe but negative utility unless tuned; Portfolio-ML, which learns weights under an economic objective, works best out of sample.</t>
        </is>
      </c>
      <c r="Y2" s="2" t="inlineStr">
        <is>
          <t>Moved ML evaluation from gross prediction to the implementable frontier; introduced economic feature importance.</t>
        </is>
      </c>
      <c r="Z2" s="2" t="inlineStr">
        <is>
          <t>[inference] The paper's focus is the cost-aware objective; explicit state- or regime-dependence of signal weights and forecast uncertainty are not its central questions (verify in full text).</t>
        </is>
      </c>
      <c r="AA2" s="2" t="inlineStr">
        <is>
          <t>[inference] How much of the net gain comes from nonlinearity versus conditioning versus the objective; whether conditioning on market states adds value once costs are internalised.</t>
        </is>
      </c>
      <c r="AB2" s="2" t="inlineStr">
        <is>
          <t>Closest prior art for any cost-aware ML combination claim</t>
        </is>
      </c>
      <c r="AC2" s="2" t="inlineStr">
        <is>
          <t>Use Portfolio-ML as the strongest benchmark and nest it inside a factorial decomposition [inference].</t>
        </is>
      </c>
      <c r="AD2" s="3" t="n">
        <v>5</v>
      </c>
      <c r="AE2" s="2" t="inlineStr">
        <is>
          <t>Detailed core entry</t>
        </is>
      </c>
      <c r="AF2" s="2" t="inlineStr">
        <is>
          <t>DOI from publisher page/search; Crossref-confirmed</t>
        </is>
      </c>
    </row>
    <row r="3">
      <c r="A3" s="2" t="inlineStr">
        <is>
          <t>SWZ2023</t>
        </is>
      </c>
      <c r="B3" s="2" t="inlineStr">
        <is>
          <t>Deep Parametric Portfolio Policies</t>
        </is>
      </c>
      <c r="C3" s="2" t="inlineStr">
        <is>
          <t>Simon, F.; Weibels, S.; Zimmermann, T.</t>
        </is>
      </c>
      <c r="D3" s="3" t="n">
        <v>2026</v>
      </c>
      <c r="E3" s="2" t="inlineStr">
        <is>
          <t>Management Science (2026; Crossref record) - earlier CFR Working Paper 23-01 / SSRN 4150292</t>
        </is>
      </c>
      <c r="F3" s="2" t="inlineStr">
        <is>
          <t>T1b Finance/OR</t>
        </is>
      </c>
      <c r="G3" s="4" t="inlineStr">
        <is>
          <t>https://doi.org/10.1287/mnsc.2025.00721</t>
        </is>
      </c>
      <c r="H3" s="2" t="inlineStr">
        <is>
          <t>End-to-end / decision-focused</t>
        </is>
      </c>
      <c r="I3" s="3" t="inlineStr">
        <is>
          <t>Yes</t>
        </is>
      </c>
      <c r="J3" s="2" t="inlineStr">
        <is>
          <t>Do neural-network parametric portfolio policies beat linear policies?</t>
        </is>
      </c>
      <c r="K3" s="2" t="inlineStr">
        <is>
          <t>US equities with firm characteristics [verify]</t>
        </is>
      </c>
      <c r="L3" s="2" t="inlineStr">
        <is>
          <t>US stocks</t>
        </is>
      </c>
      <c r="M3" s="2" t="inlineStr">
        <is>
          <t>Monthly</t>
        </is>
      </c>
      <c r="N3" s="2" t="inlineStr">
        <is>
          <t>Firm characteristics</t>
        </is>
      </c>
      <c r="O3" s="2" t="inlineStr">
        <is>
          <t>Feed-forward neural networks mapping characteristics to weight tilts</t>
        </is>
      </c>
      <c r="P3" s="2" t="inlineStr">
        <is>
          <t>Learned directly from utility</t>
        </is>
      </c>
      <c r="Q3" s="2" t="inlineStr">
        <is>
          <t>Deep parametric portfolio policy with weight/leverage constraints</t>
        </is>
      </c>
      <c r="R3" s="2" t="inlineStr">
        <is>
          <t>Linear parametric portfolio policy</t>
        </is>
      </c>
      <c r="S3" s="2" t="inlineStr">
        <is>
          <t>Certainty-equivalent returns</t>
        </is>
      </c>
      <c r="T3" s="2" t="inlineStr">
        <is>
          <t>[verify]</t>
        </is>
      </c>
      <c r="U3" s="2" t="inlineStr">
        <is>
          <t>Incorporated; results robust after costs [verify whether costs enter training]</t>
        </is>
      </c>
      <c r="V3" s="2" t="inlineStr">
        <is>
          <t>[verify]</t>
        </is>
      </c>
      <c r="W3" s="2" t="inlineStr">
        <is>
          <t>Utility functions</t>
        </is>
      </c>
      <c r="X3" s="2" t="inlineStr">
        <is>
          <t>Network-based policies achieve 75-276 bps higher monthly certainty-equivalent returns than a comparable linear policy, robust to costs and short-sale restrictions.</t>
        </is>
      </c>
      <c r="Y3" s="2" t="inlineStr">
        <is>
          <t>Nonlinear generalisation of PPP under an economic objective.</t>
        </is>
      </c>
      <c r="Z3" s="2" t="inlineStr">
        <is>
          <t>Static mapping; state dependence and uncertainty not central [inference].</t>
        </is>
      </c>
      <c r="AA3" s="2" t="inlineStr">
        <is>
          <t>Decomposition of gains; state conditioning.</t>
        </is>
      </c>
      <c r="AB3" s="2" t="inlineStr">
        <is>
          <t>Close prior art (nonlinear economic-objective learning)</t>
        </is>
      </c>
      <c r="AC3" s="2" t="inlineStr">
        <is>
          <t>Benchmark column; nonlinear-objective cell [inference].</t>
        </is>
      </c>
      <c r="AD3" s="3" t="n">
        <v>5</v>
      </c>
      <c r="AE3" s="2" t="inlineStr">
        <is>
          <t>Detailed core entry</t>
        </is>
      </c>
      <c r="AF3" s="2" t="inlineStr">
        <is>
          <t>DOI from publisher page/search; Crossref-confirmed</t>
        </is>
      </c>
    </row>
    <row r="4">
      <c r="A4" s="2" t="inlineStr">
        <is>
          <t>LMNS2025</t>
        </is>
      </c>
      <c r="B4" s="2" t="inlineStr">
        <is>
          <t>The Uncertainty of Machine Learning Predictions in Asset Pricing</t>
        </is>
      </c>
      <c r="C4" s="2" t="inlineStr">
        <is>
          <t>Liao, Y.; Ma, X.; Neuhierl, A.; Schilling, L.</t>
        </is>
      </c>
      <c r="D4" s="3" t="n">
        <v>2025</v>
      </c>
      <c r="E4" s="2" t="inlineStr">
        <is>
          <t>Working paper (arXiv 2503.00549)</t>
        </is>
      </c>
      <c r="F4" s="2" t="inlineStr">
        <is>
          <t>WP</t>
        </is>
      </c>
      <c r="G4" s="4" t="inlineStr">
        <is>
          <t>https://arxiv.org/abs/2503.00549</t>
        </is>
      </c>
      <c r="H4" s="2" t="inlineStr">
        <is>
          <t>ML asset pricing</t>
        </is>
      </c>
      <c r="I4" s="3" t="inlineStr">
        <is>
          <t>Yes</t>
        </is>
      </c>
      <c r="J4" s="2" t="inlineStr">
        <is>
          <t>How uncertain are neural-network expected-return forecasts, and does accounting for it improve portfolios?</t>
        </is>
      </c>
      <c r="K4" s="2" t="inlineStr">
        <is>
          <t>Equity panel [verify]</t>
        </is>
      </c>
      <c r="L4" s="2" t="inlineStr">
        <is>
          <t>[verify]</t>
        </is>
      </c>
      <c r="M4" s="2" t="inlineStr">
        <is>
          <t>Monthly</t>
        </is>
      </c>
      <c r="N4" s="2" t="inlineStr">
        <is>
          <t>Firm characteristics</t>
        </is>
      </c>
      <c r="O4" s="2" t="inlineStr">
        <is>
          <t>Neural networks; closed-form and bootstrap standard errors</t>
        </is>
      </c>
      <c r="P4" s="2" t="inlineStr">
        <is>
          <t>Forecast confidence intervals</t>
        </is>
      </c>
      <c r="Q4" s="2" t="inlineStr">
        <is>
          <t>Uncertainty-averse investment framework (shrinkage interpretation)</t>
        </is>
      </c>
      <c r="R4" s="2" t="inlineStr">
        <is>
          <t>Point-forecast portfolios</t>
        </is>
      </c>
      <c r="S4" s="2" t="inlineStr">
        <is>
          <t>Out-of-sample performance</t>
        </is>
      </c>
      <c r="T4" s="2" t="inlineStr">
        <is>
          <t>[verify]</t>
        </is>
      </c>
      <c r="U4" s="2" t="inlineStr">
        <is>
          <t>[verify]</t>
        </is>
      </c>
      <c r="V4" s="2" t="inlineStr">
        <is>
          <t>[verify]</t>
        </is>
      </c>
      <c r="W4" s="2" t="inlineStr">
        <is>
          <t>Uncertainty aversion</t>
        </is>
      </c>
      <c r="X4" s="2" t="inlineStr">
        <is>
          <t>NN return forecasts share the asymptotic distribution of classic nonparametric estimators, giving closed-form standard errors; using the intervals improves out-of-sample performance.</t>
        </is>
      </c>
      <c r="Y4" s="2" t="inlineStr">
        <is>
          <t>Formal inference for ML expected returns and its portfolio use.</t>
        </is>
      </c>
      <c r="Z4" s="2" t="inlineStr">
        <is>
          <t>Working paper; cost interaction not central [inference].</t>
        </is>
      </c>
      <c r="AA4" s="2" t="inlineStr">
        <is>
          <t>Interaction of uncertainty with trading costs and state dependence.</t>
        </is>
      </c>
      <c r="AB4" s="2" t="inlineStr">
        <is>
          <t>Close prior art (uncertainty)</t>
        </is>
      </c>
      <c r="AC4" s="2" t="inlineStr">
        <is>
          <t>Use as the uncertainty cell and closest prior art for Concept 3 [inference].</t>
        </is>
      </c>
      <c r="AD4" s="3" t="n">
        <v>5</v>
      </c>
      <c r="AE4" s="2" t="inlineStr">
        <is>
          <t>Detailed core entry</t>
        </is>
      </c>
      <c r="AF4" s="2" t="inlineStr">
        <is>
          <t>Working paper (journal DOI not available/verified)</t>
        </is>
      </c>
    </row>
    <row r="5">
      <c r="A5" s="2" t="inlineStr">
        <is>
          <t>CHK2024</t>
        </is>
      </c>
      <c r="B5" s="2" t="inlineStr">
        <is>
          <t>Design Choices, Machine Learning, and the Cross-Section of Stock Returns</t>
        </is>
      </c>
      <c r="C5" s="2" t="inlineStr">
        <is>
          <t>Chen, M.; Hanauer, M.X.; Kalsbach, T.</t>
        </is>
      </c>
      <c r="D5" s="3" t="n">
        <v>2024</v>
      </c>
      <c r="E5" s="2" t="inlineStr">
        <is>
          <t>Working paper (SSRN 5031755)</t>
        </is>
      </c>
      <c r="F5" s="2" t="inlineStr">
        <is>
          <t>WP</t>
        </is>
      </c>
      <c r="G5" s="4" t="inlineStr">
        <is>
          <t>https://ssrn.com/abstract=5031755</t>
        </is>
      </c>
      <c r="H5" s="2" t="inlineStr">
        <is>
          <t>ML strategies &amp; implementability</t>
        </is>
      </c>
      <c r="I5" s="3" t="inlineStr">
        <is>
          <t>Yes</t>
        </is>
      </c>
      <c r="J5" s="2" t="inlineStr">
        <is>
          <t>How much do researcher design choices change ML-based return-prediction portfolios?</t>
        </is>
      </c>
      <c r="K5" s="2" t="inlineStr">
        <is>
          <t>US equities with anomaly inputs</t>
        </is>
      </c>
      <c r="L5" s="2" t="inlineStr">
        <is>
          <t>US stocks, with/without microcaps</t>
        </is>
      </c>
      <c r="M5" s="2" t="inlineStr">
        <is>
          <t>Monthly</t>
        </is>
      </c>
      <c r="N5" s="2" t="inlineStr">
        <is>
          <t>Anomaly characteristics; with/without compression; pre-publication-only variants</t>
        </is>
      </c>
      <c r="O5" s="2" t="inlineStr">
        <is>
          <t>Multiple ML models across 1,056 design combinations</t>
        </is>
      </c>
      <c r="P5" s="2" t="inlineStr">
        <is>
          <t>Varies by design</t>
        </is>
      </c>
      <c r="Q5" s="2" t="inlineStr">
        <is>
          <t>Top-minus-bottom portfolios</t>
        </is>
      </c>
      <c r="R5" s="2" t="inlineStr">
        <is>
          <t>Across-design distribution</t>
        </is>
      </c>
      <c r="S5" s="2" t="inlineStr">
        <is>
          <t>Mean top-minus-bottom returns; non-standard errors</t>
        </is>
      </c>
      <c r="T5" s="2" t="inlineStr">
        <is>
          <t>[verify]</t>
        </is>
      </c>
      <c r="U5" s="2" t="inlineStr">
        <is>
          <t>[verify]</t>
        </is>
      </c>
      <c r="V5" s="2" t="inlineStr">
        <is>
          <t>[verify]</t>
        </is>
      </c>
      <c r="W5" s="2" t="inlineStr">
        <is>
          <t>n/a</t>
        </is>
      </c>
      <c r="X5" s="2" t="inlineStr">
        <is>
          <t>Seven design choices (model, target, target transformation, pre-publication inputs, feature compression, rolling vs expanding window, microcaps) generate monthly top-minus-bottom returns from 0.13% to 1.98%; the non-standard error exceeds the standard error by 59%.</t>
        </is>
      </c>
      <c r="Y5" s="2" t="inlineStr">
        <is>
          <t>Quantified non-standard errors in ML asset-pricing research.</t>
        </is>
      </c>
      <c r="Z5" s="2" t="inlineStr">
        <is>
          <t>Documents dispersion; not a combination method.</t>
        </is>
      </c>
      <c r="AA5" s="2" t="inlineStr">
        <is>
          <t>Which choices create net-of-cost value and why.</t>
        </is>
      </c>
      <c r="AB5" s="2" t="inlineStr">
        <is>
          <t>Methodological robustness standard</t>
        </is>
      </c>
      <c r="AC5" s="2" t="inlineStr">
        <is>
          <t>Adopt multiverse reporting for our design [inference].</t>
        </is>
      </c>
      <c r="AD5" s="3" t="n">
        <v>5</v>
      </c>
      <c r="AE5" s="2" t="inlineStr">
        <is>
          <t>Detailed core entry</t>
        </is>
      </c>
      <c r="AF5" s="2" t="inlineStr">
        <is>
          <t>Working paper (journal DOI not available/verified)</t>
        </is>
      </c>
    </row>
    <row r="6">
      <c r="A6" s="2" t="inlineStr">
        <is>
          <t>DMU2024</t>
        </is>
      </c>
      <c r="B6" s="2" t="inlineStr">
        <is>
          <t>A Multifactor Perspective on Volatility-Managed Portfolios</t>
        </is>
      </c>
      <c r="C6" s="2" t="inlineStr">
        <is>
          <t>DeMiguel, V.; Martin-Utrera, A.; Uppal, R.</t>
        </is>
      </c>
      <c r="D6" s="3" t="n">
        <v>2024</v>
      </c>
      <c r="E6" s="2" t="inlineStr">
        <is>
          <t>Journal of Finance 79:3859-3891</t>
        </is>
      </c>
      <c r="F6" s="2" t="inlineStr">
        <is>
          <t>T1 General Finance</t>
        </is>
      </c>
      <c r="G6" s="4" t="inlineStr">
        <is>
          <t>https://doi.org/10.1111/jofi.13395</t>
        </is>
      </c>
      <c r="H6" s="2" t="inlineStr">
        <is>
          <t>Factor timing &amp; regimes</t>
        </is>
      </c>
      <c r="I6" s="3" t="inlineStr">
        <is>
          <t>Yes</t>
        </is>
      </c>
      <c r="J6" s="2" t="inlineStr">
        <is>
          <t>Can conditioning factor weights on volatility add value out of sample and net of costs in a multifactor setting?</t>
        </is>
      </c>
      <c r="K6" s="2" t="inlineStr">
        <is>
          <t>US factor portfolios; replication package on Mendeley Data</t>
        </is>
      </c>
      <c r="L6" s="2" t="inlineStr">
        <is>
          <t>Factor portfolios</t>
        </is>
      </c>
      <c r="M6" s="2" t="inlineStr">
        <is>
          <t>Monthly</t>
        </is>
      </c>
      <c r="N6" s="2" t="inlineStr">
        <is>
          <t>Factor volatilities</t>
        </is>
      </c>
      <c r="O6" s="2" t="inlineStr">
        <is>
          <t>n/a</t>
        </is>
      </c>
      <c r="P6" s="2" t="inlineStr">
        <is>
          <t>Conditional multifactor weights</t>
        </is>
      </c>
      <c r="Q6" s="2" t="inlineStr">
        <is>
          <t>Conditional multifactor portfolio</t>
        </is>
      </c>
      <c r="R6" s="2" t="inlineStr">
        <is>
          <t>Unconditional multifactor and single-factor volatility-managed portfolios</t>
        </is>
      </c>
      <c r="S6" s="2" t="inlineStr">
        <is>
          <t>Out-of-sample Sharpe net of costs</t>
        </is>
      </c>
      <c r="T6" s="2" t="inlineStr">
        <is>
          <t>[verify]</t>
        </is>
      </c>
      <c r="U6" s="2" t="inlineStr">
        <is>
          <t>Explicit</t>
        </is>
      </c>
      <c r="V6" s="2" t="inlineStr">
        <is>
          <t>Explicit</t>
        </is>
      </c>
      <c r="W6" s="2" t="inlineStr">
        <is>
          <t>Mean-variance</t>
        </is>
      </c>
      <c r="X6" s="2" t="inlineStr">
        <is>
          <t>Single-factor volatility management does not survive costs, but a conditional multifactor portfolio outperforms its unconditional counterpart out of sample and net of costs; factor risk prices generally fall with market volatility.</t>
        </is>
      </c>
      <c r="Y6" s="2" t="inlineStr">
        <is>
          <t>Evidence that state-conditional combination can survive costs when done jointly across factors.</t>
        </is>
      </c>
      <c r="Z6" s="2" t="inlineStr">
        <is>
          <t>Low-dimensional factor set; one conditioning variable family.</t>
        </is>
      </c>
      <c r="AA6" s="2" t="inlineStr">
        <is>
          <t>Stock-level, high-dimensional, nonlinear conditioning.</t>
        </is>
      </c>
      <c r="AB6" s="2" t="inlineStr">
        <is>
          <t>State conditioning in low dimension</t>
        </is>
      </c>
      <c r="AC6" s="2" t="inlineStr">
        <is>
          <t>Generalise conditioning to many states and signals at stock level [inference].</t>
        </is>
      </c>
      <c r="AD6" s="3" t="n">
        <v>5</v>
      </c>
      <c r="AE6" s="2" t="inlineStr">
        <is>
          <t>Detailed core entry</t>
        </is>
      </c>
      <c r="AF6" s="2" t="inlineStr">
        <is>
          <t>DOI from publisher page/search; Crossref-confirmed</t>
        </is>
      </c>
    </row>
    <row r="7">
      <c r="A7" s="2" t="inlineStr">
        <is>
          <t>NRRZ2024</t>
        </is>
      </c>
      <c r="B7" s="2" t="inlineStr">
        <is>
          <t>Timing the Factor Zoo</t>
        </is>
      </c>
      <c r="C7" s="2" t="inlineStr">
        <is>
          <t>Neuhierl, A.; Randl, O.; Reschenhofer, C.; Zechner, J.</t>
        </is>
      </c>
      <c r="D7" s="3" t="n">
        <v>2024</v>
      </c>
      <c r="E7" s="2" t="inlineStr">
        <is>
          <t>Working paper (SSRN 4376898); AFA/AEA conference programmes</t>
        </is>
      </c>
      <c r="F7" s="2" t="inlineStr">
        <is>
          <t>WP</t>
        </is>
      </c>
      <c r="G7" s="4" t="inlineStr">
        <is>
          <t>https://papers.ssrn.com/sol3/papers.cfm?abstract_id=4376898</t>
        </is>
      </c>
      <c r="H7" s="2" t="inlineStr">
        <is>
          <t>Factor timing &amp; regimes</t>
        </is>
      </c>
      <c r="I7" s="3" t="inlineStr">
        <is>
          <t>Yes</t>
        </is>
      </c>
      <c r="J7" s="2" t="inlineStr">
        <is>
          <t>Can the returns of hundreds of equity factors be timed with a high-dimensional set of predictors?</t>
        </is>
      </c>
      <c r="K7" s="2" t="inlineStr">
        <is>
          <t>300+ equity risk factors and a high-dimensional predictor set</t>
        </is>
      </c>
      <c r="L7" s="2" t="inlineStr">
        <is>
          <t>US factor portfolios</t>
        </is>
      </c>
      <c r="M7" s="2" t="inlineStr">
        <is>
          <t>Monthly</t>
        </is>
      </c>
      <c r="N7" s="2" t="inlineStr">
        <is>
          <t>Factor-specific and aggregate predictors (past factor returns, volatility, valuation, macro, etc.)</t>
        </is>
      </c>
      <c r="O7" s="2" t="inlineStr">
        <is>
          <t>Partial least squares and other dimension-reduction/shrinkage methods</t>
        </is>
      </c>
      <c r="P7" s="2" t="inlineStr">
        <is>
          <t>Timed factor weights</t>
        </is>
      </c>
      <c r="Q7" s="2" t="inlineStr">
        <is>
          <t>Timed multifactor portfolio</t>
        </is>
      </c>
      <c r="R7" s="2" t="inlineStr">
        <is>
          <t>Untimed multifactor portfolio</t>
        </is>
      </c>
      <c r="S7" s="2" t="inlineStr">
        <is>
          <t>Predictive R2, factor portfolio returns</t>
        </is>
      </c>
      <c r="T7" s="2" t="inlineStr">
        <is>
          <t>[verify]</t>
        </is>
      </c>
      <c r="U7" s="2" t="inlineStr">
        <is>
          <t>[verify treatment]</t>
        </is>
      </c>
      <c r="V7" s="2" t="inlineStr">
        <is>
          <t>[verify]</t>
        </is>
      </c>
      <c r="W7" s="2" t="inlineStr">
        <is>
          <t>[verify]</t>
        </is>
      </c>
      <c r="X7" s="2" t="inlineStr">
        <is>
          <t>Almost all factor groups can be timed, most for profitability and value; past factor returns and volatility are the best single predictors but PLS aggregation dominates; timing raises the multifactor portfolio return by about 20%.</t>
        </is>
      </c>
      <c r="Y7" s="2" t="inlineStr">
        <is>
          <t>Most comprehensive evidence that factor (signal) efficacy is predictable over time.</t>
        </is>
      </c>
      <c r="Z7" s="2" t="inlineStr">
        <is>
          <t>Operates at the factor-portfolio level; stock-level netting and implementable costs are not the focus [inference].</t>
        </is>
      </c>
      <c r="AA7" s="2" t="inlineStr">
        <is>
          <t>Whether factor-timing information survives when combined at the stock level inside a cost-aware optimizer [inference].</t>
        </is>
      </c>
      <c r="AB7" s="2" t="inlineStr">
        <is>
          <t>Factor-level, not stock-level implementation</t>
        </is>
      </c>
      <c r="AC7" s="2" t="inlineStr">
        <is>
          <t>Feed timing predictors as state variables into stock-level combination [inference].</t>
        </is>
      </c>
      <c r="AD7" s="3" t="n">
        <v>5</v>
      </c>
      <c r="AE7" s="2" t="inlineStr">
        <is>
          <t>Detailed core entry</t>
        </is>
      </c>
      <c r="AF7" s="2" t="inlineStr">
        <is>
          <t>Working paper (journal DOI not available/verified)</t>
        </is>
      </c>
    </row>
    <row r="8">
      <c r="A8" s="2" t="inlineStr">
        <is>
          <t>ACM2023</t>
        </is>
      </c>
      <c r="B8" s="2" t="inlineStr">
        <is>
          <t>Machine Learning vs. Economic Restrictions: Evidence from Stock Return Predictability</t>
        </is>
      </c>
      <c r="C8" s="2" t="inlineStr">
        <is>
          <t>Avramov, D.; Cheng, S.; Metzker, L.</t>
        </is>
      </c>
      <c r="D8" s="3" t="n">
        <v>2023</v>
      </c>
      <c r="E8" s="2" t="inlineStr">
        <is>
          <t>Management Science 69(5):2587-2619</t>
        </is>
      </c>
      <c r="F8" s="2" t="inlineStr">
        <is>
          <t>T1b Finance/OR</t>
        </is>
      </c>
      <c r="G8" s="4" t="inlineStr">
        <is>
          <t>https://doi.org/10.1287/mnsc.2022.4449</t>
        </is>
      </c>
      <c r="H8" s="2" t="inlineStr">
        <is>
          <t>ML strategies &amp; implementability</t>
        </is>
      </c>
      <c r="I8" s="3" t="inlineStr">
        <is>
          <t>Yes</t>
        </is>
      </c>
      <c r="J8" s="2" t="inlineStr">
        <is>
          <t>Do deep-learning return signals survive economic restrictions such as excluding microcaps, distressed firms and high-volatility episodes, and trading costs?</t>
        </is>
      </c>
      <c r="K8" s="2" t="inlineStr">
        <is>
          <t>US equities; ML models from the recent literature (neural networks, conditional autoencoder, IPCA, adversarial SDF) [verify full list]</t>
        </is>
      </c>
      <c r="L8" s="2" t="inlineStr">
        <is>
          <t>US common stocks, with subsamples excluding microcaps and distressed firms</t>
        </is>
      </c>
      <c r="M8" s="2" t="inlineStr">
        <is>
          <t>Monthly</t>
        </is>
      </c>
      <c r="N8" s="2" t="inlineStr">
        <is>
          <t>Firm characteristics as in the replicated ML models</t>
        </is>
      </c>
      <c r="O8" s="2" t="inlineStr">
        <is>
          <t>Deep learning / latent-factor ML models</t>
        </is>
      </c>
      <c r="P8" s="2" t="inlineStr">
        <is>
          <t>Model-implied expected returns / pricing-kernel weights</t>
        </is>
      </c>
      <c r="Q8" s="2" t="inlineStr">
        <is>
          <t>Long-short and tangency portfolios implied by the models</t>
        </is>
      </c>
      <c r="R8" s="2" t="inlineStr">
        <is>
          <t>Unrestricted ML portfolios versus restricted universes</t>
        </is>
      </c>
      <c r="S8" s="2" t="inlineStr">
        <is>
          <t>Returns, alphas, turnover, net returns</t>
        </is>
      </c>
      <c r="T8" s="2" t="inlineStr">
        <is>
          <t>Out-of-sample US sample [verify dates]</t>
        </is>
      </c>
      <c r="U8" s="2" t="inlineStr">
        <is>
          <t>Reasonable trading costs applied; performance deteriorates because of high turnover and extreme positions</t>
        </is>
      </c>
      <c r="V8" s="2" t="inlineStr">
        <is>
          <t>High; identified as the main source of cost drag</t>
        </is>
      </c>
      <c r="W8" s="2" t="inlineStr">
        <is>
          <t>Universe restrictions act as economic filters</t>
        </is>
      </c>
      <c r="X8" s="2" t="inlineStr">
        <is>
          <t>ML profitability comes from difficult-to-arbitrage stocks and high limits-to-arbitrage states; excluding microcaps, distressed stocks or high-volatility episodes considerably attenuates it; costs erode it further.</t>
        </is>
      </c>
      <c r="Y8" s="2" t="inlineStr">
        <is>
          <t>Showed that headline ML alpha is concentrated where it is least implementable.</t>
        </is>
      </c>
      <c r="Z8" s="2" t="inlineStr">
        <is>
          <t>Diagnoses the problem; does not propose a combination method that is implementable by design.</t>
        </is>
      </c>
      <c r="AA8" s="2" t="inlineStr">
        <is>
          <t>How to build ML signal combinations whose value survives restrictions and costs.</t>
        </is>
      </c>
      <c r="AB8" s="2" t="inlineStr">
        <is>
          <t>Implementability of ML alpha</t>
        </is>
      </c>
      <c r="AC8" s="2" t="inlineStr">
        <is>
          <t>Use its restrictions as the default universe and report results both with and without them [inference].</t>
        </is>
      </c>
      <c r="AD8" s="3" t="n">
        <v>5</v>
      </c>
      <c r="AE8" s="2" t="inlineStr">
        <is>
          <t>Detailed core entry</t>
        </is>
      </c>
      <c r="AF8" s="2" t="inlineStr">
        <is>
          <t>DOI from publisher page/search; Crossref-confirmed</t>
        </is>
      </c>
    </row>
    <row r="9">
      <c r="A9" s="2" t="inlineStr">
        <is>
          <t>AHV2023</t>
        </is>
      </c>
      <c r="B9" s="2" t="inlineStr">
        <is>
          <t>The Expected Returns on Machine-Learning Strategies</t>
        </is>
      </c>
      <c r="C9" s="2" t="inlineStr">
        <is>
          <t>Azevedo, V.; Hoegner, C.; Velikov, M.</t>
        </is>
      </c>
      <c r="D9" s="3" t="n">
        <v>2023</v>
      </c>
      <c r="E9" s="2" t="inlineStr">
        <is>
          <t>Working paper (SSRN 4702406); AFA programme</t>
        </is>
      </c>
      <c r="F9" s="2" t="inlineStr">
        <is>
          <t>WP</t>
        </is>
      </c>
      <c r="G9" s="4" t="inlineStr">
        <is>
          <t>https://papers.ssrn.com/sol3/papers.cfm?abstract_id=4702406</t>
        </is>
      </c>
      <c r="H9" s="2" t="inlineStr">
        <is>
          <t>ML strategies &amp; implementability</t>
        </is>
      </c>
      <c r="I9" s="3" t="inlineStr">
        <is>
          <t>Yes</t>
        </is>
      </c>
      <c r="J9" s="2" t="inlineStr">
        <is>
          <t>What are the expected returns of ML anomaly-combination strategies after costs, post-publication decay and the modern high-liquidity era?</t>
        </is>
      </c>
      <c r="K9" s="2" t="inlineStr">
        <is>
          <t>US anomaly characteristics</t>
        </is>
      </c>
      <c r="L9" s="2" t="inlineStr">
        <is>
          <t>US stocks</t>
        </is>
      </c>
      <c r="M9" s="2" t="inlineStr">
        <is>
          <t>Monthly</t>
        </is>
      </c>
      <c r="N9" s="2" t="inlineStr">
        <is>
          <t>Published anomaly characteristics</t>
        </is>
      </c>
      <c r="O9" s="2" t="inlineStr">
        <is>
          <t>Range from simple to sophisticated ML, including LSTM</t>
        </is>
      </c>
      <c r="P9" s="2" t="inlineStr">
        <is>
          <t>ML combination of anomaly characteristics</t>
        </is>
      </c>
      <c r="Q9" s="2" t="inlineStr">
        <is>
          <t>Long-short, value-weighted variants</t>
        </is>
      </c>
      <c r="R9" s="2" t="inlineStr">
        <is>
          <t>Simple combinations; factor models</t>
        </is>
      </c>
      <c r="S9" s="2" t="inlineStr">
        <is>
          <t>Net returns, generalized net alpha</t>
        </is>
      </c>
      <c r="T9" s="2" t="inlineStr">
        <is>
          <t>Includes post-decimalization era</t>
        </is>
      </c>
      <c r="U9" s="2" t="inlineStr">
        <is>
          <t>Explicit effective-spread costs</t>
        </is>
      </c>
      <c r="V9" s="2" t="inlineStr">
        <is>
          <t>Above 50% for profitable strategies</t>
        </is>
      </c>
      <c r="W9" s="2" t="inlineStr">
        <is>
          <t>n/a</t>
        </is>
      </c>
      <c r="X9" s="2" t="inlineStr">
        <is>
          <t>Sophisticated ML strategies earn net out-of-sample returns up to 1.42% per month; an LSTM combination has a six-factor generalized net alpha of 1.20% (t = 3.46).</t>
        </is>
      </c>
      <c r="Y9" s="2" t="inlineStr">
        <is>
          <t>Most direct evidence that some ML combinations remain profitable after costs and decay.</t>
        </is>
      </c>
      <c r="Z9" s="2" t="inlineStr">
        <is>
          <t>Cost handling is ex post (evaluation), not inside learning [inference].</t>
        </is>
      </c>
      <c r="AA9" s="2" t="inlineStr">
        <is>
          <t>Cost-aware learning and state dependence.</t>
        </is>
      </c>
      <c r="AB9" s="2" t="inlineStr">
        <is>
          <t>Ex-post cost evaluation</t>
        </is>
      </c>
      <c r="AC9" s="2" t="inlineStr">
        <is>
          <t>Replicate as a benchmark column in the factorial design [inference].</t>
        </is>
      </c>
      <c r="AD9" s="3" t="n">
        <v>5</v>
      </c>
      <c r="AE9" s="2" t="inlineStr">
        <is>
          <t>Detailed core entry</t>
        </is>
      </c>
      <c r="AF9" s="2" t="inlineStr">
        <is>
          <t>Working paper (journal DOI not available/verified)</t>
        </is>
      </c>
    </row>
    <row r="10">
      <c r="A10" s="2" t="inlineStr">
        <is>
          <t>BHHH2023</t>
        </is>
      </c>
      <c r="B10" s="2" t="inlineStr">
        <is>
          <t>The Term Structure of Machine Learning Alpha</t>
        </is>
      </c>
      <c r="C10" s="2" t="inlineStr">
        <is>
          <t>Blitz, D.; Hanauer, M.X.; Hoogteijling, T.; Howard, C.</t>
        </is>
      </c>
      <c r="D10" s="3" t="n">
        <v>2023</v>
      </c>
      <c r="E10" s="2" t="inlineStr">
        <is>
          <t>Journal of Financial Data Science 5(4) 5(4):40-65</t>
        </is>
      </c>
      <c r="F10" s="2" t="inlineStr">
        <is>
          <t>T3 Practitioner</t>
        </is>
      </c>
      <c r="G10" s="4" t="inlineStr">
        <is>
          <t>https://doi.org/10.3905/jfds.2023.1.135</t>
        </is>
      </c>
      <c r="H10" s="2" t="inlineStr">
        <is>
          <t>ML strategies &amp; implementability</t>
        </is>
      </c>
      <c r="I10" s="3" t="inlineStr">
        <is>
          <t>Yes</t>
        </is>
      </c>
      <c r="J10" s="2" t="inlineStr">
        <is>
          <t>Does ML alpha survive costs, and does training on longer prediction horizons help?</t>
        </is>
      </c>
      <c r="K10" s="2" t="inlineStr">
        <is>
          <t>US equities [verify]</t>
        </is>
      </c>
      <c r="L10" s="2" t="inlineStr">
        <is>
          <t>[verify]</t>
        </is>
      </c>
      <c r="M10" s="2" t="inlineStr">
        <is>
          <t>Monthly</t>
        </is>
      </c>
      <c r="N10" s="2" t="inlineStr">
        <is>
          <t>Firm characteristics</t>
        </is>
      </c>
      <c r="O10" s="2" t="inlineStr">
        <is>
          <t>Common ML models (trees, neural networks) [verify]</t>
        </is>
      </c>
      <c r="P10" s="2" t="inlineStr">
        <is>
          <t>Forecasts at 1-12 month horizons</t>
        </is>
      </c>
      <c r="Q10" s="2" t="inlineStr">
        <is>
          <t>Long-short portfolios with efficient trading rules</t>
        </is>
      </c>
      <c r="R10" s="2" t="inlineStr">
        <is>
          <t>1-month-horizon models</t>
        </is>
      </c>
      <c r="S10" s="2" t="inlineStr">
        <is>
          <t>Gross and net alpha</t>
        </is>
      </c>
      <c r="T10" s="2" t="inlineStr">
        <is>
          <t>Full sample and 2004-2021 subperiod</t>
        </is>
      </c>
      <c r="U10" s="2" t="inlineStr">
        <is>
          <t>Explicit</t>
        </is>
      </c>
      <c r="V10" s="2" t="inlineStr">
        <is>
          <t>Much lower for long-horizon models</t>
        </is>
      </c>
      <c r="W10" s="2" t="inlineStr">
        <is>
          <t>n/a</t>
        </is>
      </c>
      <c r="X10" s="2" t="inlineStr">
        <is>
          <t>Common ML models have high full-sample gross alphas but net performance near zero after 2004; training on longer horizons (3, 6, 12 months) and efficient trading rules yields significantly positive net returns.</t>
        </is>
      </c>
      <c r="Y10" s="2" t="inlineStr">
        <is>
          <t>Showed horizon choice is a first-order lever for net ML alpha.</t>
        </is>
      </c>
      <c r="Z10" s="2" t="inlineStr">
        <is>
          <t>Horizon is fixed per model, not adapted to states or signals.</t>
        </is>
      </c>
      <c r="AA10" s="2" t="inlineStr">
        <is>
          <t>Signal-specific and state-specific horizons.</t>
        </is>
      </c>
      <c r="AB10" s="2" t="inlineStr">
        <is>
          <t>Cost-aware horizon design</t>
        </is>
      </c>
      <c r="AC10" s="2" t="inlineStr">
        <is>
          <t>Let horizon/decay enter the combination explicitly [inference].</t>
        </is>
      </c>
      <c r="AD10" s="3" t="n">
        <v>5</v>
      </c>
      <c r="AE10" s="2" t="inlineStr">
        <is>
          <t>Detailed core entry</t>
        </is>
      </c>
      <c r="AF10" s="2" t="inlineStr">
        <is>
          <t>Crossref match (title, author, year, journal)</t>
        </is>
      </c>
    </row>
    <row r="11">
      <c r="A11" s="2" t="inlineStr">
        <is>
          <t>CV2023</t>
        </is>
      </c>
      <c r="B11" s="2" t="inlineStr">
        <is>
          <t>Zeroing In on the Expected Returns of Anomalies</t>
        </is>
      </c>
      <c r="C11" s="2" t="inlineStr">
        <is>
          <t>Chen, A.Y.; Velikov, M.</t>
        </is>
      </c>
      <c r="D11" s="3" t="n">
        <v>2023</v>
      </c>
      <c r="E11" s="2" t="inlineStr">
        <is>
          <t>Journal of Financial and Quantitative Analysis 58(3):968-1004</t>
        </is>
      </c>
      <c r="F11" s="2" t="inlineStr">
        <is>
          <t>T1b Finance/OR</t>
        </is>
      </c>
      <c r="G11" s="4" t="inlineStr">
        <is>
          <t>https://doi.org/10.1017/s0022109022000874</t>
        </is>
      </c>
      <c r="H11" s="2" t="inlineStr">
        <is>
          <t>TC &amp; implementability</t>
        </is>
      </c>
      <c r="I11" s="3" t="inlineStr">
        <is>
          <t>Yes</t>
        </is>
      </c>
      <c r="J11" s="2" t="inlineStr">
        <is>
          <t>What is the expected return of anomaly strategies net of spreads, post-publication decay and modern trading technology?</t>
        </is>
      </c>
      <c r="K11" s="2" t="inlineStr">
        <is>
          <t>204 anomalies; effective bid-ask spreads</t>
        </is>
      </c>
      <c r="L11" s="2" t="inlineStr">
        <is>
          <t>US stocks</t>
        </is>
      </c>
      <c r="M11" s="2" t="inlineStr">
        <is>
          <t>Monthly</t>
        </is>
      </c>
      <c r="N11" s="2" t="inlineStr">
        <is>
          <t>n/a</t>
        </is>
      </c>
      <c r="O11" s="2" t="inlineStr">
        <is>
          <t>n/a</t>
        </is>
      </c>
      <c r="P11" s="2" t="inlineStr">
        <is>
          <t>Individual anomalies and combinations</t>
        </is>
      </c>
      <c r="Q11" s="2" t="inlineStr">
        <is>
          <t>Long-short with cost mitigation</t>
        </is>
      </c>
      <c r="R11" s="2" t="inlineStr">
        <is>
          <t>Gross returns</t>
        </is>
      </c>
      <c r="S11" s="2" t="inlineStr">
        <is>
          <t>Net expected returns</t>
        </is>
      </c>
      <c r="T11" s="2" t="inlineStr">
        <is>
          <t>Includes post-2000s era</t>
        </is>
      </c>
      <c r="U11" s="2" t="inlineStr">
        <is>
          <t>Effective bid-ask spreads (high- and low-frequency estimates)</t>
        </is>
      </c>
      <c r="V11" s="2" t="inlineStr">
        <is>
          <t>Cost mitigation applied</t>
        </is>
      </c>
      <c r="W11" s="2" t="inlineStr">
        <is>
          <t>n/a</t>
        </is>
      </c>
      <c r="X11" s="2" t="inlineStr">
        <is>
          <t>Net of these effects, the average anomaly earns about 4 bps per month; cost mitigation works pre-publication but net returns are tiny afterward.</t>
        </is>
      </c>
      <c r="Y11" s="2" t="inlineStr">
        <is>
          <t>Calibrates realistic expectations for signal-level alpha.</t>
        </is>
      </c>
      <c r="Z11" s="2" t="inlineStr">
        <is>
          <t>Mostly single anomalies.</t>
        </is>
      </c>
      <c r="AA11" s="2" t="inlineStr">
        <is>
          <t>Whether combination/netting rescues the value.</t>
        </is>
      </c>
      <c r="AB11" s="2" t="inlineStr">
        <is>
          <t>Signal-level alpha is small after costs</t>
        </is>
      </c>
      <c r="AC11" s="2" t="inlineStr">
        <is>
          <t>Use its spread data and horizon to set the cost baseline [inference].</t>
        </is>
      </c>
      <c r="AD11" s="3" t="n">
        <v>5</v>
      </c>
      <c r="AE11" s="2" t="inlineStr">
        <is>
          <t>Detailed core entry</t>
        </is>
      </c>
      <c r="AF11" s="2" t="inlineStr">
        <is>
          <t>Crossref match (title, author, year, journal)</t>
        </is>
      </c>
    </row>
    <row r="12">
      <c r="A12" s="2" t="inlineStr">
        <is>
          <t>JKP2023</t>
        </is>
      </c>
      <c r="B12" s="2" t="inlineStr">
        <is>
          <t>Is There a Replication Crisis in Finance?</t>
        </is>
      </c>
      <c r="C12" s="2" t="inlineStr">
        <is>
          <t>Jensen, T.I.; Kelly, B.; Pedersen, L.H.</t>
        </is>
      </c>
      <c r="D12" s="3" t="n">
        <v>2023</v>
      </c>
      <c r="E12" s="2" t="inlineStr">
        <is>
          <t>Journal of Finance 78(5):2465-2518</t>
        </is>
      </c>
      <c r="F12" s="2" t="inlineStr">
        <is>
          <t>T1 General Finance</t>
        </is>
      </c>
      <c r="G12" s="4" t="inlineStr">
        <is>
          <t>https://doi.org/10.1111/jofi.13249</t>
        </is>
      </c>
      <c r="H12" s="2" t="inlineStr">
        <is>
          <t>Replication &amp; multiple testing</t>
        </is>
      </c>
      <c r="I12" s="3" t="inlineStr">
        <is>
          <t>Yes</t>
        </is>
      </c>
      <c r="J12" s="2" t="inlineStr">
        <is>
          <t>Do published factors replicate, and how should multiple testing be handled?</t>
        </is>
      </c>
      <c r="K12" s="2" t="inlineStr">
        <is>
          <t>153 factors, 93 countries (jkpfactors.com; CC BY-NC 4.0; updated through Dec 2025)</t>
        </is>
      </c>
      <c r="L12" s="2" t="inlineStr">
        <is>
          <t>Global</t>
        </is>
      </c>
      <c r="M12" s="2" t="inlineStr">
        <is>
          <t>Monthly</t>
        </is>
      </c>
      <c r="N12" s="2" t="inlineStr">
        <is>
          <t>153 characteristics in 13 themes</t>
        </is>
      </c>
      <c r="O12" s="2" t="inlineStr">
        <is>
          <t>Bayesian hierarchical model of factor alphas</t>
        </is>
      </c>
      <c r="P12" s="2" t="inlineStr">
        <is>
          <t>Theme clusters</t>
        </is>
      </c>
      <c r="Q12" s="2" t="inlineStr">
        <is>
          <t>Factor portfolios; tangency portfolio</t>
        </is>
      </c>
      <c r="R12" s="2" t="inlineStr">
        <is>
          <t>Frequentist multiple-testing corrections</t>
        </is>
      </c>
      <c r="S12" s="2" t="inlineStr">
        <is>
          <t>Replication rates, posterior alphas</t>
        </is>
      </c>
      <c r="T12" s="2" t="inlineStr">
        <is>
          <t>Long global sample</t>
        </is>
      </c>
      <c r="U12" s="2" t="inlineStr">
        <is>
          <t>Not central</t>
        </is>
      </c>
      <c r="V12" s="2" t="inlineStr">
        <is>
          <t>n/a</t>
        </is>
      </c>
      <c r="W12" s="2" t="inlineStr">
        <is>
          <t>n/a</t>
        </is>
      </c>
      <c r="X12" s="2" t="inlineStr">
        <is>
          <t>Most factors replicate, cluster into 13 themes (most in the tangency portfolio), work out of sample across 93 countries, and evidence is strengthened by the number of factors.</t>
        </is>
      </c>
      <c r="Y12" s="2" t="inlineStr">
        <is>
          <t>Global, documented signal dataset and a Bayesian view of the factor zoo.</t>
        </is>
      </c>
      <c r="Z12" s="2" t="inlineStr">
        <is>
          <t>Gross factor returns.</t>
        </is>
      </c>
      <c r="AA12" s="2" t="inlineStr">
        <is>
          <t>Implementable combination.</t>
        </is>
      </c>
      <c r="AB12" s="2" t="inlineStr">
        <is>
          <t>Data infrastructure</t>
        </is>
      </c>
      <c r="AC12" s="2" t="inlineStr">
        <is>
          <t>Theme-level attribution and international robustness [inference].</t>
        </is>
      </c>
      <c r="AD12" s="3" t="n">
        <v>5</v>
      </c>
      <c r="AE12" s="2" t="inlineStr">
        <is>
          <t>Detailed core entry</t>
        </is>
      </c>
      <c r="AF12" s="2" t="inlineStr">
        <is>
          <t>DOI from publisher page/search; Crossref-confirmed</t>
        </is>
      </c>
    </row>
    <row r="13">
      <c r="A13" s="2" t="inlineStr">
        <is>
          <t>CZ2022</t>
        </is>
      </c>
      <c r="B13" s="2" t="inlineStr">
        <is>
          <t>Open Source Cross-Sectional Asset Pricing</t>
        </is>
      </c>
      <c r="C13" s="2" t="inlineStr">
        <is>
          <t>Chen, A.Y.; Zimmermann, T.</t>
        </is>
      </c>
      <c r="D13" s="3" t="n">
        <v>2022</v>
      </c>
      <c r="E13" s="2" t="inlineStr">
        <is>
          <t>Critical Finance Review 11(2):207-264</t>
        </is>
      </c>
      <c r="F13" s="2" t="inlineStr">
        <is>
          <t>T2 Quant/Field</t>
        </is>
      </c>
      <c r="G13" s="4" t="inlineStr">
        <is>
          <t>https://doi.org/10.1561/104.00000112</t>
        </is>
      </c>
      <c r="H13" s="2" t="inlineStr">
        <is>
          <t>Data &amp; measurement</t>
        </is>
      </c>
      <c r="I13" s="3" t="inlineStr">
        <is>
          <t>Yes</t>
        </is>
      </c>
      <c r="J13" s="2" t="inlineStr">
        <is>
          <t>Can the cross-sectional predictor literature be reproduced with open code and data?</t>
        </is>
      </c>
      <c r="K13" s="2" t="inlineStr">
        <is>
          <t>319 characteristics in the paper; website provides 209 firm-level signals (212 incl. 3 CRSP-based) through Dec 2024</t>
        </is>
      </c>
      <c r="L13" s="2" t="inlineStr">
        <is>
          <t>US stocks</t>
        </is>
      </c>
      <c r="M13" s="2" t="inlineStr">
        <is>
          <t>Monthly (daily portfolio returns also available)</t>
        </is>
      </c>
      <c r="N13" s="2" t="inlineStr">
        <is>
          <t>Published predictors</t>
        </is>
      </c>
      <c r="O13" s="2" t="inlineStr">
        <is>
          <t>n/a</t>
        </is>
      </c>
      <c r="P13" s="2" t="inlineStr">
        <is>
          <t>n/a</t>
        </is>
      </c>
      <c r="Q13" s="2" t="inlineStr">
        <is>
          <t>Original-paper long-short portfolios</t>
        </is>
      </c>
      <c r="R13" s="2" t="inlineStr">
        <is>
          <t>Original t-statistics</t>
        </is>
      </c>
      <c r="S13" s="2" t="inlineStr">
        <is>
          <t>Reproduced t-statistics</t>
        </is>
      </c>
      <c r="T13" s="2" t="inlineStr">
        <is>
          <t>Varies by signal</t>
        </is>
      </c>
      <c r="U13" s="2" t="inlineStr">
        <is>
          <t>Not part of the paper [verify]</t>
        </is>
      </c>
      <c r="V13" s="2" t="inlineStr">
        <is>
          <t>n/a</t>
        </is>
      </c>
      <c r="W13" s="2" t="inlineStr">
        <is>
          <t>n/a</t>
        </is>
      </c>
      <c r="X13" s="2" t="inlineStr">
        <is>
          <t>98% of clearly significant predictors reproduce with t &gt; 1.96; slope of reproduced on original t-stats is 0.88 with R2 of 82%.</t>
        </is>
      </c>
      <c r="Y13" s="2" t="inlineStr">
        <is>
          <t>Open signal library usable as the backbone of a signal-combination study.</t>
        </is>
      </c>
      <c r="Z13" s="2" t="inlineStr">
        <is>
          <t>Some inputs require CRSP/Compustat/IBES licences.</t>
        </is>
      </c>
      <c r="AA13" s="2" t="inlineStr">
        <is>
          <t>n/a</t>
        </is>
      </c>
      <c r="AB13" s="2" t="inlineStr">
        <is>
          <t>Data infrastructure</t>
        </is>
      </c>
      <c r="AC13" s="2" t="inlineStr">
        <is>
          <t>Primary open signal source [inference].</t>
        </is>
      </c>
      <c r="AD13" s="3" t="n">
        <v>5</v>
      </c>
      <c r="AE13" s="2" t="inlineStr">
        <is>
          <t>Detailed core entry</t>
        </is>
      </c>
      <c r="AF13" s="2" t="inlineStr">
        <is>
          <t>Crossref match (title, author, year, journal)</t>
        </is>
      </c>
    </row>
    <row r="14">
      <c r="A14" s="2" t="inlineStr">
        <is>
          <t>CDS2020</t>
        </is>
      </c>
      <c r="B14" s="2" t="inlineStr">
        <is>
          <t>Liquidity Regimes and Optimal Dynamic Asset Allocation</t>
        </is>
      </c>
      <c r="C14" s="2" t="inlineStr">
        <is>
          <t>Collin-Dufresne, P.; Daniel, K.; Saglam, M.</t>
        </is>
      </c>
      <c r="D14" s="3" t="n">
        <v>2020</v>
      </c>
      <c r="E14" s="2" t="inlineStr">
        <is>
          <t>Journal of Financial Economics 136(2):379-406</t>
        </is>
      </c>
      <c r="F14" s="2" t="inlineStr">
        <is>
          <t>T1 General Finance</t>
        </is>
      </c>
      <c r="G14" s="4" t="inlineStr">
        <is>
          <t>https://doi.org/10.1016/j.jfineco.2019.09.011</t>
        </is>
      </c>
      <c r="H14" s="2" t="inlineStr">
        <is>
          <t>Factor timing &amp; regimes</t>
        </is>
      </c>
      <c r="I14" s="3" t="inlineStr">
        <is>
          <t>Yes</t>
        </is>
      </c>
      <c r="J14" s="2" t="inlineStr">
        <is>
          <t>How should a costly trader allocate when expected returns, covariances and trading costs follow a regime-switching model?</t>
        </is>
      </c>
      <c r="K14" s="2" t="inlineStr">
        <is>
          <t>Model with calibrated application [verify]</t>
        </is>
      </c>
      <c r="L14" s="2" t="inlineStr">
        <is>
          <t>Multi-asset</t>
        </is>
      </c>
      <c r="M14" s="2" t="inlineStr">
        <is>
          <t>n/a</t>
        </is>
      </c>
      <c r="N14" s="2" t="inlineStr">
        <is>
          <t>Regime states</t>
        </is>
      </c>
      <c r="O14" s="2" t="inlineStr">
        <is>
          <t>n/a</t>
        </is>
      </c>
      <c r="P14" s="2" t="inlineStr">
        <is>
          <t>Regime-weighted conditional mean-variance portfolios</t>
        </is>
      </c>
      <c r="Q14" s="2" t="inlineStr">
        <is>
          <t>Aim portfolio = weighted average of conditional MV portfolios across future states</t>
        </is>
      </c>
      <c r="R14" s="2" t="inlineStr">
        <is>
          <t>Single-regime solution</t>
        </is>
      </c>
      <c r="S14" s="2" t="inlineStr">
        <is>
          <t>Utility</t>
        </is>
      </c>
      <c r="T14" s="2" t="inlineStr">
        <is>
          <t>n/a</t>
        </is>
      </c>
      <c r="U14" s="2" t="inlineStr">
        <is>
          <t>Regime-dependent quadratic costs</t>
        </is>
      </c>
      <c r="V14" s="2" t="inlineStr">
        <is>
          <t>Trading speed higher in persistent, riskier and more liquid states</t>
        </is>
      </c>
      <c r="W14" s="2" t="inlineStr">
        <is>
          <t>Mean-variance</t>
        </is>
      </c>
      <c r="X14" s="2" t="inlineStr">
        <is>
          <t>Trading speed should vary with the regime; it can be optimal to overweight low-Sharpe assets that stay liquid in crises.</t>
        </is>
      </c>
      <c r="Y14" s="2" t="inlineStr">
        <is>
          <t>Theoretical case for state-dependent combination and trading speed under costs.</t>
        </is>
      </c>
      <c r="Z14" s="2" t="inlineStr">
        <is>
          <t>Regimes and parameters assumed known; low-dimensional.</t>
        </is>
      </c>
      <c r="AA14" s="2" t="inlineStr">
        <is>
          <t>Empirical, high-dimensional, learned version for stock-level signals.</t>
        </is>
      </c>
      <c r="AB14" s="2" t="inlineStr">
        <is>
          <t>Theory without large-scale empirical test</t>
        </is>
      </c>
      <c r="AC14" s="2" t="inlineStr">
        <is>
          <t>Test its predictions (state-dependent trading speed) in an ML signal-combination setting [inference].</t>
        </is>
      </c>
      <c r="AD14" s="3" t="n">
        <v>5</v>
      </c>
      <c r="AE14" s="2" t="inlineStr">
        <is>
          <t>Detailed core entry</t>
        </is>
      </c>
      <c r="AF14" s="2" t="inlineStr">
        <is>
          <t>Crossref match (title, author, year, journal)</t>
        </is>
      </c>
    </row>
    <row r="15">
      <c r="A15" s="2" t="inlineStr">
        <is>
          <t>DMNU2020</t>
        </is>
      </c>
      <c r="B15" s="2" t="inlineStr">
        <is>
          <t>A Transaction-Cost Perspective on the Multitude of Firm Characteristics</t>
        </is>
      </c>
      <c r="C15" s="2" t="inlineStr">
        <is>
          <t>DeMiguel, V.; Martin-Utrera, A.; Nogales, F.J.; Uppal, R.</t>
        </is>
      </c>
      <c r="D15" s="3" t="n">
        <v>2020</v>
      </c>
      <c r="E15" s="2" t="inlineStr">
        <is>
          <t>Review of Financial Studies 33(5):2180-2222</t>
        </is>
      </c>
      <c r="F15" s="2" t="inlineStr">
        <is>
          <t>T1 General Finance</t>
        </is>
      </c>
      <c r="G15" s="4" t="inlineStr">
        <is>
          <t>https://doi.org/10.1093/rfs/hhz085</t>
        </is>
      </c>
      <c r="H15" s="2" t="inlineStr">
        <is>
          <t>Portfolio construction</t>
        </is>
      </c>
      <c r="I15" s="3" t="inlineStr">
        <is>
          <t>Yes</t>
        </is>
      </c>
      <c r="J15" s="2" t="inlineStr">
        <is>
          <t>How do transaction costs change the number of characteristics that matter jointly for an investor's optimal portfolio?</t>
        </is>
      </c>
      <c r="K15" s="2" t="inlineStr">
        <is>
          <t>US equities with a large set of firm characteristics [verify count and dates]</t>
        </is>
      </c>
      <c r="L15" s="2" t="inlineStr">
        <is>
          <t>US common stocks</t>
        </is>
      </c>
      <c r="M15" s="2" t="inlineStr">
        <is>
          <t>Monthly</t>
        </is>
      </c>
      <c r="N15" s="2" t="inlineStr">
        <is>
          <t>Firm characteristics</t>
        </is>
      </c>
      <c r="O15" s="2" t="inlineStr">
        <is>
          <t>Parametric portfolio policy (linear in characteristics) with regularisation</t>
        </is>
      </c>
      <c r="P15" s="2" t="inlineStr">
        <is>
          <t>Characteristic weights estimated by maximising investor utility net of costs</t>
        </is>
      </c>
      <c r="Q15" s="2" t="inlineStr">
        <is>
          <t>Parametric portfolio policy with transaction costs</t>
        </is>
      </c>
      <c r="R15" s="2" t="inlineStr">
        <is>
          <t>Policies ignoring costs; subsets of characteristics</t>
        </is>
      </c>
      <c r="S15" s="2" t="inlineStr">
        <is>
          <t>Significance of characteristics; out-of-sample utility / Sharpe net of costs</t>
        </is>
      </c>
      <c r="T15" s="2" t="inlineStr">
        <is>
          <t>[verify]</t>
        </is>
      </c>
      <c r="U15" s="2" t="inlineStr">
        <is>
          <t>Explicit, inside the objective</t>
        </is>
      </c>
      <c r="V15" s="2" t="inlineStr">
        <is>
          <t>Endogenous</t>
        </is>
      </c>
      <c r="W15" s="2" t="inlineStr">
        <is>
          <t>Utility-based</t>
        </is>
      </c>
      <c r="X15" s="2" t="inlineStr">
        <is>
          <t>Transaction costs increase the number of jointly significant characteristics from 6 to 15, because trades implied by different characteristics partly cancel out (netting).</t>
        </is>
      </c>
      <c r="Y15" s="2" t="inlineStr">
        <is>
          <t>Showed that combining many signals is valuable precisely because of trade netting under costs.</t>
        </is>
      </c>
      <c r="Z15" s="2" t="inlineStr">
        <is>
          <t>Linear policy; static weights.</t>
        </is>
      </c>
      <c r="AA15" s="2" t="inlineStr">
        <is>
          <t>Nonlinear and state-dependent combinations under costs.</t>
        </is>
      </c>
      <c r="AB15" s="2" t="inlineStr">
        <is>
          <t>Linear/static cost-aware combination only</t>
        </is>
      </c>
      <c r="AC15" s="2" t="inlineStr">
        <is>
          <t>Measure netting benefits explicitly for nonlinear and conditional combinations [inference].</t>
        </is>
      </c>
      <c r="AD15" s="3" t="n">
        <v>5</v>
      </c>
      <c r="AE15" s="2" t="inlineStr">
        <is>
          <t>Detailed core entry</t>
        </is>
      </c>
      <c r="AF15" s="2" t="inlineStr">
        <is>
          <t>DOI from publisher page/search; Crossref-confirmed</t>
        </is>
      </c>
    </row>
    <row r="16">
      <c r="A16" s="2" t="inlineStr">
        <is>
          <t>GKX2020</t>
        </is>
      </c>
      <c r="B16" s="2" t="inlineStr">
        <is>
          <t>Empirical Asset Pricing via Machine Learning</t>
        </is>
      </c>
      <c r="C16" s="2" t="inlineStr">
        <is>
          <t>Gu, S.; Kelly, B.; Xiu, D.</t>
        </is>
      </c>
      <c r="D16" s="3" t="n">
        <v>2020</v>
      </c>
      <c r="E16" s="2" t="inlineStr">
        <is>
          <t>Review of Financial Studies 33(5):2223-2273</t>
        </is>
      </c>
      <c r="F16" s="2" t="inlineStr">
        <is>
          <t>T1 General Finance</t>
        </is>
      </c>
      <c r="G16" s="4" t="inlineStr">
        <is>
          <t>https://doi.org/10.1093/rfs/hhaa009</t>
        </is>
      </c>
      <c r="H16" s="2" t="inlineStr">
        <is>
          <t>ML asset pricing</t>
        </is>
      </c>
      <c r="I16" s="3" t="inlineStr">
        <is>
          <t>Yes</t>
        </is>
      </c>
      <c r="J16" s="2" t="inlineStr">
        <is>
          <t>Which machine-learning methods best measure stock-level risk premia, and where do their gains come from?</t>
        </is>
      </c>
      <c r="K16" s="2" t="inlineStr">
        <is>
          <t>CRSP/Compustat US equities, monthly, 1957-2016 (NBER w25398)</t>
        </is>
      </c>
      <c r="L16" s="2" t="inlineStr">
        <is>
          <t>All US common stocks (roughly 30,000 over the sample) [verify exact filters]</t>
        </is>
      </c>
      <c r="M16" s="2" t="inlineStr">
        <is>
          <t>Monthly</t>
        </is>
      </c>
      <c r="N16" s="2" t="inlineStr">
        <is>
          <t>94 firm characteristics, 74 industry dummies, 8 aggregate macro predictors and characteristic x macro interactions (920 covariates) [verify counts in full text]</t>
        </is>
      </c>
      <c r="O16" s="2" t="inlineStr">
        <is>
          <t>OLS, OLS-3, PLS, PCR, elastic net, generalized linear model with group lasso, random forest, gradient-boosted trees, neural networks with 1-5 hidden layers</t>
        </is>
      </c>
      <c r="P16" s="2" t="inlineStr">
        <is>
          <t>Implicit: one pooled panel model maps all characteristics to next-month excess return</t>
        </is>
      </c>
      <c r="Q16" s="2" t="inlineStr">
        <is>
          <t>Decile sorts on predicted returns (equal- and value-weighted long-short); market-timing exercise</t>
        </is>
      </c>
      <c r="R16" s="2" t="inlineStr">
        <is>
          <t>OLS with all covariates; OLS-3 (size, book-to-market, momentum)</t>
        </is>
      </c>
      <c r="S16" s="2" t="inlineStr">
        <is>
          <t>Out-of-sample R2, Diebold-Mariano tests, variable importance, decile-spread returns and Sharpe ratios</t>
        </is>
      </c>
      <c r="T16" s="2" t="inlineStr">
        <is>
          <t>Expanding training window with separate validation; out-of-sample test 1987-2016 [verify split]</t>
        </is>
      </c>
      <c r="U16" s="2" t="inlineStr">
        <is>
          <t>Not modelled in the headline portfolio results [inference from design; verify appendix]</t>
        </is>
      </c>
      <c r="V16" s="2" t="inlineStr">
        <is>
          <t>Not a design objective</t>
        </is>
      </c>
      <c r="W16" s="2" t="inlineStr">
        <is>
          <t>None beyond sorting</t>
        </is>
      </c>
      <c r="X16" s="2" t="inlineStr">
        <is>
          <t>Trees and neural networks perform best; gains come from nonlinear predictor interactions; price trends, liquidity and volatility are the dominant predictors.</t>
        </is>
      </c>
      <c r="Y16" s="2" t="inlineStr">
        <is>
          <t>Set the standard comparative design for ML in cross-sectional return prediction.</t>
        </is>
      </c>
      <c r="Z16" s="2" t="inlineStr">
        <is>
          <t>Gross-of-cost sort portfolios; predictions evaluated by statistical loss, not the investor objective; static mapping over time except via macro interactions.</t>
        </is>
      </c>
      <c r="AA16" s="2" t="inlineStr">
        <is>
          <t>Whether the predictive gains survive trading costs, implementable constraints and realistic capacity.</t>
        </is>
      </c>
      <c r="AB16" s="2" t="inlineStr">
        <is>
          <t>Prediction-to-portfolio gap; cost-agnostic evaluation</t>
        </is>
      </c>
      <c r="AC16" s="2" t="inlineStr">
        <is>
          <t>Re-run the same model classes inside one cost-aware optimizer and attribute the net gain to nonlinearity, conditioning and objective [inference].</t>
        </is>
      </c>
      <c r="AD16" s="3" t="n">
        <v>5</v>
      </c>
      <c r="AE16" s="2" t="inlineStr">
        <is>
          <t>Detailed core entry</t>
        </is>
      </c>
      <c r="AF16" s="2" t="inlineStr">
        <is>
          <t>Crossref match (title, author, year, journal)</t>
        </is>
      </c>
    </row>
    <row r="17">
      <c r="A17" s="2" t="inlineStr">
        <is>
          <t>NMV2016</t>
        </is>
      </c>
      <c r="B17" s="2" t="inlineStr">
        <is>
          <t>A Taxonomy of Anomalies and Their Trading Costs</t>
        </is>
      </c>
      <c r="C17" s="2" t="inlineStr">
        <is>
          <t>Novy-Marx, R.; Velikov, M.</t>
        </is>
      </c>
      <c r="D17" s="3" t="n">
        <v>2016</v>
      </c>
      <c r="E17" s="2" t="inlineStr">
        <is>
          <t>Review of Financial Studies 29(1):104-147</t>
        </is>
      </c>
      <c r="F17" s="2" t="inlineStr">
        <is>
          <t>T1 General Finance</t>
        </is>
      </c>
      <c r="G17" s="4" t="inlineStr">
        <is>
          <t>https://doi.org/10.1093/rfs/hhv063</t>
        </is>
      </c>
      <c r="H17" s="2" t="inlineStr">
        <is>
          <t>TC &amp; implementability</t>
        </is>
      </c>
      <c r="I17" s="3" t="inlineStr">
        <is>
          <t>Yes</t>
        </is>
      </c>
      <c r="J17" s="2" t="inlineStr">
        <is>
          <t>Which anomalies survive trading costs and which mitigation techniques work?</t>
        </is>
      </c>
      <c r="K17" s="2" t="inlineStr">
        <is>
          <t>US anomalies with effective spread estimates</t>
        </is>
      </c>
      <c r="L17" s="2" t="inlineStr">
        <is>
          <t>US stocks</t>
        </is>
      </c>
      <c r="M17" s="2" t="inlineStr">
        <is>
          <t>Monthly</t>
        </is>
      </c>
      <c r="N17" s="2" t="inlineStr">
        <is>
          <t>n/a</t>
        </is>
      </c>
      <c r="O17" s="2" t="inlineStr">
        <is>
          <t>n/a</t>
        </is>
      </c>
      <c r="P17" s="2" t="inlineStr">
        <is>
          <t>Single anomalies; combinations discussed</t>
        </is>
      </c>
      <c r="Q17" s="2" t="inlineStr">
        <is>
          <t>Long-short with buy/hold spreads</t>
        </is>
      </c>
      <c r="R17" s="2" t="inlineStr">
        <is>
          <t>Unmitigated strategies</t>
        </is>
      </c>
      <c r="S17" s="2" t="inlineStr">
        <is>
          <t>Net spreads, turnover, capacity</t>
        </is>
      </c>
      <c r="T17" s="2" t="inlineStr">
        <is>
          <t>[verify]</t>
        </is>
      </c>
      <c r="U17" s="2" t="inlineStr">
        <is>
          <t>Effective bid-ask spreads</t>
        </is>
      </c>
      <c r="V17" s="2" t="inlineStr">
        <is>
          <t>Taxonomy by turnover (&lt;50% per month tends to survive)</t>
        </is>
      </c>
      <c r="W17" s="2" t="inlineStr">
        <is>
          <t>n/a</t>
        </is>
      </c>
      <c r="X17" s="2" t="inlineStr">
        <is>
          <t>Buy/hold spreads are the most effective mitigation; most anomalies with under 50% monthly turnover earn significant net spreads, few with higher turnover do; size, value and profitability strategies have the most capacity.</t>
        </is>
      </c>
      <c r="Y17" s="2" t="inlineStr">
        <is>
          <t>Standard reference for anomaly trading costs and mitigation.</t>
        </is>
      </c>
      <c r="Z17" s="2" t="inlineStr">
        <is>
          <t>Rule-based mitigation, not optimisation.</t>
        </is>
      </c>
      <c r="AA17" s="2" t="inlineStr">
        <is>
          <t>Optimised cost-aware combination.</t>
        </is>
      </c>
      <c r="AB17" s="2" t="inlineStr">
        <is>
          <t>Heuristic mitigation</t>
        </is>
      </c>
      <c r="AC17" s="2" t="inlineStr">
        <is>
          <t>Buy/hold spread as a strong simple benchmark [inference].</t>
        </is>
      </c>
      <c r="AD17" s="3" t="n">
        <v>5</v>
      </c>
      <c r="AE17" s="2" t="inlineStr">
        <is>
          <t>Detailed core entry</t>
        </is>
      </c>
      <c r="AF17" s="2" t="inlineStr">
        <is>
          <t>DOI from publisher page/search; Crossref-confirmed</t>
        </is>
      </c>
    </row>
    <row r="18">
      <c r="A18" s="2" t="inlineStr">
        <is>
          <t>LEW2015</t>
        </is>
      </c>
      <c r="B18" s="2" t="inlineStr">
        <is>
          <t>The Cross-section of Expected Stock Returns</t>
        </is>
      </c>
      <c r="C18" s="2" t="inlineStr">
        <is>
          <t>Lewellen, J.</t>
        </is>
      </c>
      <c r="D18" s="3" t="n">
        <v>2015</v>
      </c>
      <c r="E18" s="2" t="inlineStr">
        <is>
          <t>Critical Finance Review 4(1):1-44</t>
        </is>
      </c>
      <c r="F18" s="2" t="inlineStr">
        <is>
          <t>T2 Quant/Field</t>
        </is>
      </c>
      <c r="G18" s="4" t="inlineStr">
        <is>
          <t>https://doi.org/10.1561/104.00000024</t>
        </is>
      </c>
      <c r="H18" s="2" t="inlineStr">
        <is>
          <t>ML asset pricing</t>
        </is>
      </c>
      <c r="I18" s="3" t="inlineStr">
        <is>
          <t>Yes</t>
        </is>
      </c>
      <c r="J18" s="2" t="inlineStr">
        <is>
          <t>How well do Fama-MacBeth combinations of many characteristics predict returns out of sample?</t>
        </is>
      </c>
      <c r="K18" s="2" t="inlineStr">
        <is>
          <t>US equities [verify]</t>
        </is>
      </c>
      <c r="L18" s="2" t="inlineStr">
        <is>
          <t>All stocks, excluding tiny stocks, large stocks</t>
        </is>
      </c>
      <c r="M18" s="2" t="inlineStr">
        <is>
          <t>Monthly</t>
        </is>
      </c>
      <c r="N18" s="2" t="inlineStr">
        <is>
          <t>Up to 15 firm characteristics [verify]</t>
        </is>
      </c>
      <c r="O18" s="2" t="inlineStr">
        <is>
          <t>Fama-MacBeth cross-sectional regressions with rolling slope averages</t>
        </is>
      </c>
      <c r="P18" s="2" t="inlineStr">
        <is>
          <t>Linear combination with historically averaged slopes</t>
        </is>
      </c>
      <c r="Q18" s="2" t="inlineStr">
        <is>
          <t>Sorts on fitted expected returns</t>
        </is>
      </c>
      <c r="R18" s="2" t="inlineStr">
        <is>
          <t>Individual characteristics</t>
        </is>
      </c>
      <c r="S18" s="2" t="inlineStr">
        <is>
          <t>Predictive slopes, return spreads</t>
        </is>
      </c>
      <c r="T18" s="2" t="inlineStr">
        <is>
          <t>[verify]</t>
        </is>
      </c>
      <c r="U18" s="2" t="inlineStr">
        <is>
          <t>Not central</t>
        </is>
      </c>
      <c r="V18" s="2" t="inlineStr">
        <is>
          <t>[verify]</t>
        </is>
      </c>
      <c r="W18" s="2" t="inlineStr">
        <is>
          <t>n/a</t>
        </is>
      </c>
      <c r="X18" s="2" t="inlineStr">
        <is>
          <t>Fitted expected returns from rolling FM slopes have strong out-of-sample predictive power.</t>
        </is>
      </c>
      <c r="Y18" s="2" t="inlineStr">
        <is>
          <t>The canonical simple linear combination baseline.</t>
        </is>
      </c>
      <c r="Z18" s="2" t="inlineStr">
        <is>
          <t>Linear and static.</t>
        </is>
      </c>
      <c r="AA18" s="2" t="inlineStr">
        <is>
          <t>Costs, nonlinearity.</t>
        </is>
      </c>
      <c r="AB18" s="2" t="inlineStr">
        <is>
          <t>Strong simple benchmark</t>
        </is>
      </c>
      <c r="AC18" s="2" t="inlineStr">
        <is>
          <t>Mandatory baseline in our benchmark set [inference].</t>
        </is>
      </c>
      <c r="AD18" s="3" t="n">
        <v>5</v>
      </c>
      <c r="AE18" s="2" t="inlineStr">
        <is>
          <t>Detailed core entry</t>
        </is>
      </c>
      <c r="AF18" s="2" t="inlineStr">
        <is>
          <t>Crossref match (title, author, year, journal)</t>
        </is>
      </c>
    </row>
    <row r="19">
      <c r="A19" s="2" t="inlineStr">
        <is>
          <t>BLDP2014</t>
        </is>
      </c>
      <c r="B19" s="2" t="inlineStr">
        <is>
          <t>The Deflated Sharpe Ratio: Correcting for Selection Bias, Backtest Overfitting, and Non-Normality</t>
        </is>
      </c>
      <c r="C19" s="2" t="inlineStr">
        <is>
          <t>Bailey, D.H.; Lopez de Prado, M.</t>
        </is>
      </c>
      <c r="D19" s="3" t="n">
        <v>2014</v>
      </c>
      <c r="E19" s="2" t="inlineStr">
        <is>
          <t>Journal of Portfolio Management 40(5):94-107</t>
        </is>
      </c>
      <c r="F19" s="2" t="inlineStr">
        <is>
          <t>T3 Practitioner</t>
        </is>
      </c>
      <c r="G19" s="4" t="inlineStr">
        <is>
          <t>https://doi.org/10.3905/jpm.2014.40.5.094</t>
        </is>
      </c>
      <c r="H19" s="2" t="inlineStr">
        <is>
          <t>Statistical inference</t>
        </is>
      </c>
      <c r="I19" s="3" t="inlineStr">
        <is>
          <t>Yes</t>
        </is>
      </c>
      <c r="J19" s="2" t="inlineStr">
        <is>
          <t>How to correct Sharpe ratios for multiple testing and non-normality?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n/a</t>
        </is>
      </c>
      <c r="O19" s="2" t="inlineStr">
        <is>
          <t>n/a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n/a</t>
        </is>
      </c>
      <c r="S19" s="2" t="inlineStr">
        <is>
          <t>Deflated Sharpe ratio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2" t="inlineStr">
        <is>
          <t>n/a</t>
        </is>
      </c>
      <c r="X19" s="2" t="inlineStr">
        <is>
          <t>DSR corrects for selection bias under multiple testing and non-normal returns.</t>
        </is>
      </c>
      <c r="Y19" s="2" t="inlineStr">
        <is>
          <t>Standard correction for trial-count inflation.</t>
        </is>
      </c>
      <c r="Z19" s="2" t="inlineStr">
        <is>
          <t>Requires honest trial counts and correlation among trials.</t>
        </is>
      </c>
      <c r="AA19" s="2" t="inlineStr">
        <is>
          <t>n/a</t>
        </is>
      </c>
      <c r="AB19" s="2" t="inlineStr">
        <is>
          <t>Backtest integrity</t>
        </is>
      </c>
      <c r="AC19" s="2" t="inlineStr">
        <is>
          <t>Log every configuration to compute DSR [inference].</t>
        </is>
      </c>
      <c r="AD19" s="3" t="n">
        <v>5</v>
      </c>
      <c r="AE19" s="2" t="inlineStr">
        <is>
          <t>Detailed core entry</t>
        </is>
      </c>
      <c r="AF19" s="2" t="inlineStr">
        <is>
          <t>DOI from publisher page/search</t>
        </is>
      </c>
    </row>
    <row r="20">
      <c r="A20" s="2" t="inlineStr">
        <is>
          <t>GP2013</t>
        </is>
      </c>
      <c r="B20" s="2" t="inlineStr">
        <is>
          <t>Dynamic Trading with Predictable Returns and Transaction Costs</t>
        </is>
      </c>
      <c r="C20" s="2" t="inlineStr">
        <is>
          <t>Garleanu, N.; Pedersen, L.H.</t>
        </is>
      </c>
      <c r="D20" s="3" t="n">
        <v>2013</v>
      </c>
      <c r="E20" s="2" t="inlineStr">
        <is>
          <t>Journal of Finance 68(6):2309-2340</t>
        </is>
      </c>
      <c r="F20" s="2" t="inlineStr">
        <is>
          <t>T1 General Finance</t>
        </is>
      </c>
      <c r="G20" s="4" t="inlineStr">
        <is>
          <t>https://doi.org/10.1111/jofi.12080</t>
        </is>
      </c>
      <c r="H20" s="2" t="inlineStr">
        <is>
          <t>Portfolio construction</t>
        </is>
      </c>
      <c r="I20" s="3" t="inlineStr">
        <is>
          <t>Yes</t>
        </is>
      </c>
      <c r="J20" s="2" t="inlineStr">
        <is>
          <t>What is the optimal dynamic portfolio when returns are predictable by signals with different decay speeds and trading is costly?</t>
        </is>
      </c>
      <c r="K20" s="2" t="inlineStr">
        <is>
          <t>Commodity futures application [verify]</t>
        </is>
      </c>
      <c r="L20" s="2" t="inlineStr">
        <is>
          <t>Futures</t>
        </is>
      </c>
      <c r="M20" s="2" t="inlineStr">
        <is>
          <t>Daily [verify]</t>
        </is>
      </c>
      <c r="N20" s="2" t="inlineStr">
        <is>
          <t>Return-predicting signals with different mean-reversion speeds</t>
        </is>
      </c>
      <c r="O20" s="2" t="inlineStr">
        <is>
          <t>n/a</t>
        </is>
      </c>
      <c r="P20" s="2" t="inlineStr">
        <is>
          <t>Signals weighted by their persistence: slower signals get more weight in the aim portfolio</t>
        </is>
      </c>
      <c r="Q20" s="2" t="inlineStr">
        <is>
          <t>Closed-form: trade partially toward an aim portfolio that is itself a weighted average of current and expected future Markowitz portfolios</t>
        </is>
      </c>
      <c r="R20" s="2" t="inlineStr">
        <is>
          <t>Myopic / static strategies</t>
        </is>
      </c>
      <c r="S20" s="2" t="inlineStr">
        <is>
          <t>Net utility, Sharpe</t>
        </is>
      </c>
      <c r="T20" s="2" t="inlineStr">
        <is>
          <t>[verify]</t>
        </is>
      </c>
      <c r="U20" s="2" t="inlineStr">
        <is>
          <t>Quadratic costs, proportional to risk</t>
        </is>
      </c>
      <c r="V20" s="2" t="inlineStr">
        <is>
          <t>Endogenous (partial adjustment)</t>
        </is>
      </c>
      <c r="W20" s="2" t="inlineStr">
        <is>
          <t>Mean-variance</t>
        </is>
      </c>
      <c r="X20" s="2" t="inlineStr">
        <is>
          <t>Two principles: aim in front of the target and trade partially toward it.</t>
        </is>
      </c>
      <c r="Y20" s="2" t="inlineStr">
        <is>
          <t>Theory of how signal decay and costs jointly determine the combination and trading speed.</t>
        </is>
      </c>
      <c r="Z20" s="2" t="inlineStr">
        <is>
          <t>Linear signals, known dynamics, quadratic costs.</t>
        </is>
      </c>
      <c r="AA20" s="2" t="inlineStr">
        <is>
          <t>Learning signal decay and nonlinear signal interactions from data.</t>
        </is>
      </c>
      <c r="AB20" s="2" t="inlineStr">
        <is>
          <t>Known-parameter theory</t>
        </is>
      </c>
      <c r="AC20" s="2" t="inlineStr">
        <is>
          <t>Estimate signal-specific decay with ML and embed in the aim portfolio [inference].</t>
        </is>
      </c>
      <c r="AD20" s="3" t="n">
        <v>5</v>
      </c>
      <c r="AE20" s="2" t="inlineStr">
        <is>
          <t>Detailed core entry</t>
        </is>
      </c>
      <c r="AF20" s="2" t="inlineStr">
        <is>
          <t>DOI from publisher page/search; Crossref-confirmed</t>
        </is>
      </c>
    </row>
    <row r="21">
      <c r="A21" s="2" t="inlineStr">
        <is>
          <t>MPR2026</t>
        </is>
      </c>
      <c r="B21" s="2" t="inlineStr">
        <is>
          <t>In Good and in Bad Times? The Relation between Anomaly Returns and Market States</t>
        </is>
      </c>
      <c r="C21" s="2" t="inlineStr">
        <is>
          <t>Muller, S.; Preissler, F.</t>
        </is>
      </c>
      <c r="D21" s="3" t="n">
        <v>2026</v>
      </c>
      <c r="E21" s="2" t="inlineStr">
        <is>
          <t>Journal of Banking &amp; Finance 190:107746</t>
        </is>
      </c>
      <c r="F21" s="2" t="inlineStr">
        <is>
          <t>T2 Quant/Field</t>
        </is>
      </c>
      <c r="G21" s="4" t="inlineStr">
        <is>
          <t>https://doi.org/10.1016/j.jbankfin.2026.107746</t>
        </is>
      </c>
      <c r="H21" s="2" t="inlineStr">
        <is>
          <t>Factor timing &amp; regimes</t>
        </is>
      </c>
      <c r="I21" s="3" t="inlineStr">
        <is>
          <t>Yes</t>
        </is>
      </c>
      <c r="J21" s="2" t="inlineStr">
        <is>
          <t>Do anomalies perform differently in good versus bad market states?</t>
        </is>
      </c>
      <c r="K21" s="2" t="inlineStr">
        <is>
          <t>57 countries, 1980-2019 (SSRN version)</t>
        </is>
      </c>
      <c r="L21" s="2" t="inlineStr">
        <is>
          <t>International stocks</t>
        </is>
      </c>
      <c r="M21" s="2" t="inlineStr">
        <is>
          <t>Monthly / daily [verify]</t>
        </is>
      </c>
      <c r="N21" s="2" t="inlineStr">
        <is>
          <t>Anomaly portfolios</t>
        </is>
      </c>
      <c r="O21" s="2" t="inlineStr">
        <is>
          <t>n/a</t>
        </is>
      </c>
      <c r="P21" s="2" t="inlineStr">
        <is>
          <t>n/a</t>
        </is>
      </c>
      <c r="Q21" s="2" t="inlineStr">
        <is>
          <t>Anomaly long-short</t>
        </is>
      </c>
      <c r="R21" s="2" t="inlineStr">
        <is>
          <t>Good vs bad states</t>
        </is>
      </c>
      <c r="S21" s="2" t="inlineStr">
        <is>
          <t>Four-factor alphas</t>
        </is>
      </c>
      <c r="T21" s="2" t="inlineStr">
        <is>
          <t>1980-2019 [SSRN version]</t>
        </is>
      </c>
      <c r="U21" s="2" t="inlineStr">
        <is>
          <t>[verify]</t>
        </is>
      </c>
      <c r="V21" s="2" t="inlineStr">
        <is>
          <t>n/a</t>
        </is>
      </c>
      <c r="W21" s="2" t="inlineStr">
        <is>
          <t>n/a</t>
        </is>
      </c>
      <c r="X21" s="2" t="inlineStr">
        <is>
          <t>Anomalies perform better in unfavourable market states, driven mostly by the short side (reported magnitudes differ between SSRN and journal versions; verify).</t>
        </is>
      </c>
      <c r="Y21" s="2" t="inlineStr">
        <is>
          <t>Global evidence of state-dependent anomaly efficacy.</t>
        </is>
      </c>
      <c r="Z21" s="2" t="inlineStr">
        <is>
          <t>Descriptive; no combination method.</t>
        </is>
      </c>
      <c r="AA21" s="2" t="inlineStr">
        <is>
          <t>Exploiting state dependence implementably.</t>
        </is>
      </c>
      <c r="AB21" s="2" t="inlineStr">
        <is>
          <t>State dependence of signals</t>
        </is>
      </c>
      <c r="AC21" s="2" t="inlineStr">
        <is>
          <t>Motivates state-conditional signal weights [inference].</t>
        </is>
      </c>
      <c r="AD21" s="3" t="n">
        <v>4</v>
      </c>
      <c r="AE21" s="2" t="inlineStr">
        <is>
          <t>Detailed core entry</t>
        </is>
      </c>
      <c r="AF21" s="2" t="inlineStr">
        <is>
          <t>Crossref match (online/issue year differs)</t>
        </is>
      </c>
    </row>
    <row r="22">
      <c r="A22" s="2" t="inlineStr">
        <is>
          <t>CHSWZ2025</t>
        </is>
      </c>
      <c r="B22" s="2" t="inlineStr">
        <is>
          <t>The Nonstationarity-Complexity Tradeoff in Return Prediction</t>
        </is>
      </c>
      <c r="C22" s="2" t="inlineStr">
        <is>
          <t>Capponi, A.; Huang, C.; Sidaoui, J.A.; Wang, K.; Zou, J.</t>
        </is>
      </c>
      <c r="D22" s="3" t="n">
        <v>2025</v>
      </c>
      <c r="E22" s="2" t="inlineStr">
        <is>
          <t>Working paper (arXiv 2512.23596, revised 2026)</t>
        </is>
      </c>
      <c r="F22" s="2" t="inlineStr">
        <is>
          <t>WP</t>
        </is>
      </c>
      <c r="G22" s="4" t="inlineStr">
        <is>
          <t>https://arxiv.org/abs/2512.23596</t>
        </is>
      </c>
      <c r="H22" s="2" t="inlineStr">
        <is>
          <t>ML asset pricing</t>
        </is>
      </c>
      <c r="I22" s="3" t="inlineStr">
        <is>
          <t>Yes</t>
        </is>
      </c>
      <c r="J22" s="2" t="inlineStr">
        <is>
          <t>How should model complexity and training-window length be chosen jointly in non-stationary markets?</t>
        </is>
      </c>
      <c r="K22" s="2" t="inlineStr">
        <is>
          <t>US equity industry portfolios, three decades</t>
        </is>
      </c>
      <c r="L22" s="2" t="inlineStr">
        <is>
          <t>Industry portfolios</t>
        </is>
      </c>
      <c r="M22" s="2" t="inlineStr">
        <is>
          <t>[verify]</t>
        </is>
      </c>
      <c r="N22" s="2" t="inlineStr">
        <is>
          <t>[verify]</t>
        </is>
      </c>
      <c r="O22" s="2" t="inlineStr">
        <is>
          <t>Adaptive joint selection of complexity and window with guarantees</t>
        </is>
      </c>
      <c r="P22" s="2" t="inlineStr">
        <is>
          <t>n/a</t>
        </is>
      </c>
      <c r="Q22" s="2" t="inlineStr">
        <is>
          <t>[verify]</t>
        </is>
      </c>
      <c r="R22" s="2" t="inlineStr">
        <is>
          <t>Fixed-window and regime-switching benchmarks</t>
        </is>
      </c>
      <c r="S22" s="2" t="inlineStr">
        <is>
          <t>Out-of-sample R2</t>
        </is>
      </c>
      <c r="T22" s="2" t="inlineStr">
        <is>
          <t>~30 years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n/a</t>
        </is>
      </c>
      <c r="X22" s="2" t="inlineStr">
        <is>
          <t>Adaptive selection improves out-of-sample R2 on industry portfolios by 14% relative to fixed-window and regime-switching benchmarks, with large gains in recessions.</t>
        </is>
      </c>
      <c r="Y22" s="2" t="inlineStr">
        <is>
          <t>Formalises the window/complexity trade-off.</t>
        </is>
      </c>
      <c r="Z22" s="2" t="inlineStr">
        <is>
          <t>Statistical loss; portfolio-level costs not studied [inference].</t>
        </is>
      </c>
      <c r="AA22" s="2" t="inlineStr">
        <is>
          <t>Economic value net of costs.</t>
        </is>
      </c>
      <c r="AB22" s="2" t="inlineStr">
        <is>
          <t>Nonstationarity</t>
        </is>
      </c>
      <c r="AC22" s="2" t="inlineStr">
        <is>
          <t>Treat window choice as a design factor [inference].</t>
        </is>
      </c>
      <c r="AD22" s="3" t="n">
        <v>4</v>
      </c>
      <c r="AE22" s="2" t="inlineStr">
        <is>
          <t>Detailed core entry</t>
        </is>
      </c>
      <c r="AF22" s="2" t="inlineStr">
        <is>
          <t>Working paper (journal DOI not available/verified)</t>
        </is>
      </c>
    </row>
    <row r="23">
      <c r="A23" s="2" t="inlineStr">
        <is>
          <t>LAL2025</t>
        </is>
      </c>
      <c r="B23" s="2" t="inlineStr">
        <is>
          <t>Empirical Asset Pricing via Machine Learning: The Role of Research Design Choices</t>
        </is>
      </c>
      <c r="C23" s="2" t="inlineStr">
        <is>
          <t>Lalwani, V.; Meshram, V.; Jindal, V.</t>
        </is>
      </c>
      <c r="D23" s="3" t="n">
        <v>2025</v>
      </c>
      <c r="E23" s="2" t="inlineStr">
        <is>
          <t>European Financial Management 32(3):816-833</t>
        </is>
      </c>
      <c r="F23" s="2" t="inlineStr">
        <is>
          <t>T2 Quant/Field</t>
        </is>
      </c>
      <c r="G23" s="4" t="inlineStr">
        <is>
          <t>https://doi.org/10.1111/eufm.70033</t>
        </is>
      </c>
      <c r="H23" s="2" t="inlineStr">
        <is>
          <t>ML strategies &amp; implementability</t>
        </is>
      </c>
      <c r="I23" s="3" t="inlineStr">
        <is>
          <t>Yes</t>
        </is>
      </c>
      <c r="J23" s="2" t="inlineStr">
        <is>
          <t>How do eight research design choices, including training window, data filters and portfolio construction, affect ML strategy profits?</t>
        </is>
      </c>
      <c r="K23" s="2" t="inlineStr">
        <is>
          <t>Equity panel [verify market and dates]</t>
        </is>
      </c>
      <c r="L23" s="2" t="inlineStr">
        <is>
          <t>[verify]</t>
        </is>
      </c>
      <c r="M23" s="2" t="inlineStr">
        <is>
          <t>Monthly</t>
        </is>
      </c>
      <c r="N23" s="2" t="inlineStr">
        <is>
          <t>Firm characteristics</t>
        </is>
      </c>
      <c r="O23" s="2" t="inlineStr">
        <is>
          <t>Seven ML models</t>
        </is>
      </c>
      <c r="P23" s="2" t="inlineStr">
        <is>
          <t>Model forecasts</t>
        </is>
      </c>
      <c r="Q23" s="2" t="inlineStr">
        <is>
          <t>5,376 portfolios across design choices</t>
        </is>
      </c>
      <c r="R23" s="2" t="inlineStr">
        <is>
          <t>Distribution across designs</t>
        </is>
      </c>
      <c r="S23" s="2" t="inlineStr">
        <is>
          <t>Returns, non-standard errors, net returns</t>
        </is>
      </c>
      <c r="T23" s="2" t="inlineStr">
        <is>
          <t>[verify]</t>
        </is>
      </c>
      <c r="U23" s="2" t="inlineStr">
        <is>
          <t>Considered</t>
        </is>
      </c>
      <c r="V23" s="2" t="inlineStr">
        <is>
          <t>[verify]</t>
        </is>
      </c>
      <c r="W23" s="2" t="inlineStr">
        <is>
          <t>n/a</t>
        </is>
      </c>
      <c r="X23" s="2" t="inlineStr">
        <is>
          <t>Non-standard errors are up to five times the standard errors; about one-third of portfolios earn significant returns after costs.</t>
        </is>
      </c>
      <c r="Y23" s="2" t="inlineStr">
        <is>
          <t>Extends non-standard-error evidence to portfolio construction choices.</t>
        </is>
      </c>
      <c r="Z23" s="2" t="inlineStr">
        <is>
          <t>Not a new combination method.</t>
        </is>
      </c>
      <c r="AA23" s="2" t="inlineStr">
        <is>
          <t>Economic source of the dispersion.</t>
        </is>
      </c>
      <c r="AB23" s="2" t="inlineStr">
        <is>
          <t>Robustness standard</t>
        </is>
      </c>
      <c r="AC23" s="2" t="inlineStr">
        <is>
          <t>Multiverse robustness appendix [inference].</t>
        </is>
      </c>
      <c r="AD23" s="3" t="n">
        <v>4</v>
      </c>
      <c r="AE23" s="2" t="inlineStr">
        <is>
          <t>Detailed core entry</t>
        </is>
      </c>
      <c r="AF23" s="2" t="inlineStr">
        <is>
          <t>DOI from publisher page/search; Crossref-confirmed</t>
        </is>
      </c>
    </row>
    <row r="24">
      <c r="A24" s="2" t="inlineStr">
        <is>
          <t>WL2025</t>
        </is>
      </c>
      <c r="B24" s="2" t="inlineStr">
        <is>
          <t>Meta-Learning for Return Prediction in Shifting Market Regimes</t>
        </is>
      </c>
      <c r="C24" s="2" t="inlineStr">
        <is>
          <t>Wang, Y.; Lera, S.C.</t>
        </is>
      </c>
      <c r="D24" s="3" t="n">
        <v>2025</v>
      </c>
      <c r="E24" s="2" t="inlineStr">
        <is>
          <t>Journal of Financial Markets 79:101042</t>
        </is>
      </c>
      <c r="F24" s="2" t="inlineStr">
        <is>
          <t>T2 Quant/Field</t>
        </is>
      </c>
      <c r="G24" s="4" t="inlineStr">
        <is>
          <t>https://doi.org/10.1016/j.finmar.2025.101042</t>
        </is>
      </c>
      <c r="H24" s="2" t="inlineStr">
        <is>
          <t>ML asset pricing</t>
        </is>
      </c>
      <c r="I24" s="3" t="inlineStr">
        <is>
          <t>Yes</t>
        </is>
      </c>
      <c r="J24" s="2" t="inlineStr">
        <is>
          <t>Can a meta-learned prior-fitted network adapt return prediction to regime shifts?</t>
        </is>
      </c>
      <c r="K24" s="2" t="inlineStr">
        <is>
          <t>Two major equity markets [verify]</t>
        </is>
      </c>
      <c r="L24" s="2" t="inlineStr">
        <is>
          <t>[verify]</t>
        </is>
      </c>
      <c r="M24" s="2" t="inlineStr">
        <is>
          <t>[verify]</t>
        </is>
      </c>
      <c r="N24" s="2" t="inlineStr">
        <is>
          <t>Firm characteristics [verify]</t>
        </is>
      </c>
      <c r="O24" s="2" t="inlineStr">
        <is>
          <t>FinPFN: finance-specific prior-data fitted network (meta-learning)</t>
        </is>
      </c>
      <c r="P24" s="2" t="inlineStr">
        <is>
          <t>In-context learning</t>
        </is>
      </c>
      <c r="Q24" s="2" t="inlineStr">
        <is>
          <t>[verify]</t>
        </is>
      </c>
      <c r="R24" s="2" t="inlineStr">
        <is>
          <t>State-of-the-art ML benchmarks</t>
        </is>
      </c>
      <c r="S24" s="2" t="inlineStr">
        <is>
          <t>Predictive and portfolio metrics [verify]</t>
        </is>
      </c>
      <c r="T24" s="2" t="inlineStr">
        <is>
          <t>[verify]</t>
        </is>
      </c>
      <c r="U24" s="2" t="inlineStr">
        <is>
          <t>[verify]</t>
        </is>
      </c>
      <c r="V24" s="2" t="inlineStr">
        <is>
          <t>[verify]</t>
        </is>
      </c>
      <c r="W24" s="2" t="inlineStr">
        <is>
          <t>n/a</t>
        </is>
      </c>
      <c r="X24" s="2" t="inlineStr">
        <is>
          <t>Superior performance relative to ML benchmarks, especially in turbulent periods.</t>
        </is>
      </c>
      <c r="Y24" s="2" t="inlineStr">
        <is>
          <t>Brings meta-learning / in-context learning to regime-shifting return prediction.</t>
        </is>
      </c>
      <c r="Z24" s="2" t="inlineStr">
        <is>
          <t>Implementability not central [inference].</t>
        </is>
      </c>
      <c r="AA24" s="2" t="inlineStr">
        <is>
          <t>Net-of-cost value of adaptation.</t>
        </is>
      </c>
      <c r="AB24" s="2" t="inlineStr">
        <is>
          <t>Adaptation without costs</t>
        </is>
      </c>
      <c r="AC24" s="2" t="inlineStr">
        <is>
          <t>Adaptive cell in robustness [inference].</t>
        </is>
      </c>
      <c r="AD24" s="3" t="n">
        <v>4</v>
      </c>
      <c r="AE24" s="2" t="inlineStr">
        <is>
          <t>Detailed core entry</t>
        </is>
      </c>
      <c r="AF24" s="2" t="inlineStr">
        <is>
          <t>Crossref match (title, author, year, journal)</t>
        </is>
      </c>
    </row>
    <row r="25">
      <c r="A25" s="2" t="inlineStr">
        <is>
          <t>CPZ2024</t>
        </is>
      </c>
      <c r="B25" s="2" t="inlineStr">
        <is>
          <t>Deep Learning in Asset Pricing</t>
        </is>
      </c>
      <c r="C25" s="2" t="inlineStr">
        <is>
          <t>Chen, L.; Pelger, M.; Zhu, J.</t>
        </is>
      </c>
      <c r="D25" s="3" t="n">
        <v>2024</v>
      </c>
      <c r="E25" s="2" t="inlineStr">
        <is>
          <t>Management Science 70(2):714-750</t>
        </is>
      </c>
      <c r="F25" s="2" t="inlineStr">
        <is>
          <t>T1b Finance/OR</t>
        </is>
      </c>
      <c r="G25" s="4" t="inlineStr">
        <is>
          <t>https://doi.org/10.1287/mnsc.2023.4695</t>
        </is>
      </c>
      <c r="H25" s="2" t="inlineStr">
        <is>
          <t>ML asset pricing</t>
        </is>
      </c>
      <c r="I25" s="3" t="inlineStr">
        <is>
          <t>Yes</t>
        </is>
      </c>
      <c r="J25" s="2" t="inlineStr">
        <is>
          <t>Can deep networks estimate a flexible, time-varying SDF for individual stocks using no-arbitrage as the criterion?</t>
        </is>
      </c>
      <c r="K25" s="2" t="inlineStr">
        <is>
          <t>US stocks with firm characteristics and many macroeconomic time series</t>
        </is>
      </c>
      <c r="L25" s="2" t="inlineStr">
        <is>
          <t>US stocks</t>
        </is>
      </c>
      <c r="M25" s="2" t="inlineStr">
        <is>
          <t>Monthly</t>
        </is>
      </c>
      <c r="N25" s="2" t="inlineStr">
        <is>
          <t>Firm characteristics; macro states extracted from many macro series [verify counts]</t>
        </is>
      </c>
      <c r="O25" s="2" t="inlineStr">
        <is>
          <t>Adversarial (GAN-style) networks; recurrent networks for macro states</t>
        </is>
      </c>
      <c r="P25" s="2" t="inlineStr">
        <is>
          <t>SDF weights conditional on states</t>
        </is>
      </c>
      <c r="Q25" s="2" t="inlineStr">
        <is>
          <t>SDF portfolio</t>
        </is>
      </c>
      <c r="R25" s="2" t="inlineStr">
        <is>
          <t>Linear and other ML SDF models</t>
        </is>
      </c>
      <c r="S25" s="2" t="inlineStr">
        <is>
          <t>SDF Sharpe, explained variation, pricing errors</t>
        </is>
      </c>
      <c r="T25" s="2" t="inlineStr">
        <is>
          <t>[verify]</t>
        </is>
      </c>
      <c r="U25" s="2" t="inlineStr">
        <is>
          <t>Not central</t>
        </is>
      </c>
      <c r="V25" s="2" t="inlineStr">
        <is>
          <t>[verify]</t>
        </is>
      </c>
      <c r="W25" s="2" t="inlineStr">
        <is>
          <t>n/a</t>
        </is>
      </c>
      <c r="X25" s="2" t="inlineStr">
        <is>
          <t>No-arbitrage criterion, adversarial test assets and macro states improve SDF estimation.</t>
        </is>
      </c>
      <c r="Y25" s="2" t="inlineStr">
        <is>
          <t>State-dependent deep SDF.</t>
        </is>
      </c>
      <c r="Z25" s="2" t="inlineStr">
        <is>
          <t>Implementability; ACM2023 show such portfolios suffer under restrictions.</t>
        </is>
      </c>
      <c r="AA25" s="2" t="inlineStr">
        <is>
          <t>Net-of-cost value of state conditioning.</t>
        </is>
      </c>
      <c r="AB25" s="2" t="inlineStr">
        <is>
          <t>State conditioning without costs</t>
        </is>
      </c>
      <c r="AC25" s="2" t="inlineStr">
        <is>
          <t>Macro-state extraction ideas for state variables [inference].</t>
        </is>
      </c>
      <c r="AD25" s="3" t="n">
        <v>4</v>
      </c>
      <c r="AE25" s="2" t="inlineStr">
        <is>
          <t>Detailed core entry</t>
        </is>
      </c>
      <c r="AF25" s="2" t="inlineStr">
        <is>
          <t>DOI from publisher page/search; Crossref-confirmed</t>
        </is>
      </c>
    </row>
    <row r="26">
      <c r="A26" s="2" t="inlineStr">
        <is>
          <t>BS2022</t>
        </is>
      </c>
      <c r="B26" s="2" t="inlineStr">
        <is>
          <t>Lest We Forget: Learn from Out-of-Sample Forecast Errors When Optimizing Portfolios</t>
        </is>
      </c>
      <c r="C26" s="2" t="inlineStr">
        <is>
          <t>Barroso, P.; Saxena, K.</t>
        </is>
      </c>
      <c r="D26" s="3" t="n">
        <v>2022</v>
      </c>
      <c r="E26" s="2" t="inlineStr">
        <is>
          <t>Review of Financial Studies 35(3):1222-1278</t>
        </is>
      </c>
      <c r="F26" s="2" t="inlineStr">
        <is>
          <t>T1 General Finance</t>
        </is>
      </c>
      <c r="G26" s="4" t="inlineStr">
        <is>
          <t>https://doi.org/10.1093/rfs/hhab041</t>
        </is>
      </c>
      <c r="H26" s="2" t="inlineStr">
        <is>
          <t>Portfolio construction</t>
        </is>
      </c>
      <c r="I26" s="3" t="inlineStr">
        <is>
          <t>Yes</t>
        </is>
      </c>
      <c r="J26" s="2" t="inlineStr">
        <is>
          <t>Are errors in historical forecasts of optimisation inputs predictable, and can learning from them improve portfolios?</t>
        </is>
      </c>
      <c r="K26" s="2" t="inlineStr">
        <is>
          <t>Portfolio datasets; replication data on Harvard Dataverse</t>
        </is>
      </c>
      <c r="L26" s="2" t="inlineStr">
        <is>
          <t>[verify]</t>
        </is>
      </c>
      <c r="M26" s="2" t="inlineStr">
        <is>
          <t>Monthly</t>
        </is>
      </c>
      <c r="N26" s="2" t="inlineStr">
        <is>
          <t>Past forecast errors</t>
        </is>
      </c>
      <c r="O26" s="2" t="inlineStr">
        <is>
          <t>Empirical-Bayes-style learning from forecast errors</t>
        </is>
      </c>
      <c r="P26" s="2" t="inlineStr">
        <is>
          <t>n/a</t>
        </is>
      </c>
      <c r="Q26" s="2" t="inlineStr">
        <is>
          <t>Mean-variance with calibrated inputs</t>
        </is>
      </c>
      <c r="R26" s="2" t="inlineStr">
        <is>
          <t>Sample and shrinkage estimators, 1/N</t>
        </is>
      </c>
      <c r="S26" s="2" t="inlineStr">
        <is>
          <t>Out-of-sample Sharpe, realised vs expected performance</t>
        </is>
      </c>
      <c r="T26" s="2" t="inlineStr">
        <is>
          <t>[verify]</t>
        </is>
      </c>
      <c r="U26" s="2" t="inlineStr">
        <is>
          <t>[verify]</t>
        </is>
      </c>
      <c r="V26" s="2" t="inlineStr">
        <is>
          <t>[verify]</t>
        </is>
      </c>
      <c r="W26" s="2" t="inlineStr">
        <is>
          <t>Mean-variance</t>
        </is>
      </c>
      <c r="X26" s="2" t="inlineStr">
        <is>
          <t>Forecast errors have predictable patterns; learning from them yields portfolios whose performance meets expectations.</t>
        </is>
      </c>
      <c r="Y26" s="2" t="inlineStr">
        <is>
          <t>Links forecast-error learning to optimiser robustness.</t>
        </is>
      </c>
      <c r="Z26" s="2" t="inlineStr">
        <is>
          <t>Low-dimensional asset sets.</t>
        </is>
      </c>
      <c r="AA26" s="2" t="inlineStr">
        <is>
          <t>Stock-level ML alpha uncertainty.</t>
        </is>
      </c>
      <c r="AB26" s="2" t="inlineStr">
        <is>
          <t>Uncertainty-aware inputs</t>
        </is>
      </c>
      <c r="AC26" s="2" t="inlineStr">
        <is>
          <t>Calibrate ML alpha scale by realised forecast errors [inference].</t>
        </is>
      </c>
      <c r="AD26" s="3" t="n">
        <v>4</v>
      </c>
      <c r="AE26" s="2" t="inlineStr">
        <is>
          <t>Detailed core entry</t>
        </is>
      </c>
      <c r="AF26" s="2" t="inlineStr">
        <is>
          <t>Crossref match (title, author, year, journal)</t>
        </is>
      </c>
    </row>
    <row r="27">
      <c r="A27" s="2" t="inlineStr">
        <is>
          <t>TH2021</t>
        </is>
      </c>
      <c r="B27" s="2" t="inlineStr">
        <is>
          <t>Does It Pay to Follow Anomalies Research? Machine Learning Approach with International Evidence</t>
        </is>
      </c>
      <c r="C27" s="2" t="inlineStr">
        <is>
          <t>Tobek, O.; Hronec, M.</t>
        </is>
      </c>
      <c r="D27" s="3" t="n">
        <v>2021</v>
      </c>
      <c r="E27" s="2" t="inlineStr">
        <is>
          <t>Journal of Financial Markets 56:100588</t>
        </is>
      </c>
      <c r="F27" s="2" t="inlineStr">
        <is>
          <t>T2 Quant/Field</t>
        </is>
      </c>
      <c r="G27" s="4" t="inlineStr">
        <is>
          <t>https://doi.org/10.1016/j.finmar.2020.100588</t>
        </is>
      </c>
      <c r="H27" s="2" t="inlineStr">
        <is>
          <t>ML strategies &amp; implementability</t>
        </is>
      </c>
      <c r="I27" s="3" t="inlineStr">
        <is>
          <t>Yes</t>
        </is>
      </c>
      <c r="J27" s="2" t="inlineStr">
        <is>
          <t>Do ML aggregations of published anomalies earn out-of-sample returns globally?</t>
        </is>
      </c>
      <c r="K27" s="2" t="inlineStr">
        <is>
          <t>153 anomalies, global equities</t>
        </is>
      </c>
      <c r="L27" s="2" t="inlineStr">
        <is>
          <t>US and international; liquid universe</t>
        </is>
      </c>
      <c r="M27" s="2" t="inlineStr">
        <is>
          <t>Monthly</t>
        </is>
      </c>
      <c r="N27" s="2" t="inlineStr">
        <is>
          <t>153 anomaly signals</t>
        </is>
      </c>
      <c r="O27" s="2" t="inlineStr">
        <is>
          <t>ML aggregation into a single mispricing signal</t>
        </is>
      </c>
      <c r="P27" s="2" t="inlineStr">
        <is>
          <t>ML-combined mispricing score</t>
        </is>
      </c>
      <c r="Q27" s="2" t="inlineStr">
        <is>
          <t>Long-short</t>
        </is>
      </c>
      <c r="R27" s="2" t="inlineStr">
        <is>
          <t>Individual anomalies; regional evidence</t>
        </is>
      </c>
      <c r="S27" s="2" t="inlineStr">
        <is>
          <t>Out-of-sample returns</t>
        </is>
      </c>
      <c r="T27" s="2" t="inlineStr">
        <is>
          <t>[verify]</t>
        </is>
      </c>
      <c r="U27" s="2" t="inlineStr">
        <is>
          <t>Liquid universe</t>
        </is>
      </c>
      <c r="V27" s="2" t="inlineStr">
        <is>
          <t>[verify]</t>
        </is>
      </c>
      <c r="W27" s="2" t="inlineStr">
        <is>
          <t>n/a</t>
        </is>
      </c>
      <c r="X27" s="2" t="inlineStr">
        <is>
          <t>ML aggregation of all anomalies is profitable around the globe and survives in a liquid universe; non-US past performance does not help pick US winners.</t>
        </is>
      </c>
      <c r="Y27" s="2" t="inlineStr">
        <is>
          <t>International out-of-sample evidence for ML anomaly aggregation.</t>
        </is>
      </c>
      <c r="Z27" s="2" t="inlineStr">
        <is>
          <t>Cost treatment via universe rather than optimiser.</t>
        </is>
      </c>
      <c r="AA27" s="2" t="inlineStr">
        <is>
          <t>Cost-aware and state-aware combination.</t>
        </is>
      </c>
      <c r="AB27" s="2" t="inlineStr">
        <is>
          <t>Universe filters as cost proxy</t>
        </is>
      </c>
      <c r="AC27" s="2" t="inlineStr">
        <is>
          <t>International robustness template [inference].</t>
        </is>
      </c>
      <c r="AD27" s="3" t="n">
        <v>4</v>
      </c>
      <c r="AE27" s="2" t="inlineStr">
        <is>
          <t>Detailed core entry</t>
        </is>
      </c>
      <c r="AF27" s="2" t="inlineStr">
        <is>
          <t>Crossref match (title, author, year, journal)</t>
        </is>
      </c>
    </row>
    <row r="28">
      <c r="A28" s="2" t="inlineStr">
        <is>
          <t>HKS2020</t>
        </is>
      </c>
      <c r="B28" s="2" t="inlineStr">
        <is>
          <t>Factor Timing</t>
        </is>
      </c>
      <c r="C28" s="2" t="inlineStr">
        <is>
          <t>Haddad, V.; Kozak, S.; Santosh, S.</t>
        </is>
      </c>
      <c r="D28" s="3" t="n">
        <v>2020</v>
      </c>
      <c r="E28" s="2" t="inlineStr">
        <is>
          <t>Review of Financial Studies 33(5):1980-2018</t>
        </is>
      </c>
      <c r="F28" s="2" t="inlineStr">
        <is>
          <t>T1 General Finance</t>
        </is>
      </c>
      <c r="G28" s="4" t="inlineStr">
        <is>
          <t>https://doi.org/10.1093/rfs/hhaa017</t>
        </is>
      </c>
      <c r="H28" s="2" t="inlineStr">
        <is>
          <t>Factor timing &amp; regimes</t>
        </is>
      </c>
      <c r="I28" s="3" t="inlineStr">
        <is>
          <t>Yes</t>
        </is>
      </c>
      <c r="J28" s="2" t="inlineStr">
        <is>
          <t>Are the dominant components of anomaly returns predictable, and what does that imply for the SDF?</t>
        </is>
      </c>
      <c r="K28" s="2" t="inlineStr">
        <is>
          <t>US anomaly portfolios</t>
        </is>
      </c>
      <c r="L28" s="2" t="inlineStr">
        <is>
          <t>Anomaly long-short portfolios</t>
        </is>
      </c>
      <c r="M28" s="2" t="inlineStr">
        <is>
          <t>Monthly</t>
        </is>
      </c>
      <c r="N28" s="2" t="inlineStr">
        <is>
          <t>Book-to-market ratios of principal-component portfolios</t>
        </is>
      </c>
      <c r="O28" s="2" t="inlineStr">
        <is>
          <t>PCA + predictive regressions with shrinkage</t>
        </is>
      </c>
      <c r="P28" s="2" t="inlineStr">
        <is>
          <t>Timed principal-component portfolios</t>
        </is>
      </c>
      <c r="Q28" s="2" t="inlineStr">
        <is>
          <t>Optimal factor-timing portfolio</t>
        </is>
      </c>
      <c r="R28" s="2" t="inlineStr">
        <is>
          <t>Static factor investing</t>
        </is>
      </c>
      <c r="S28" s="2" t="inlineStr">
        <is>
          <t>Predictive R2, Sharpe</t>
        </is>
      </c>
      <c r="T28" s="2" t="inlineStr">
        <is>
          <t>[verify]</t>
        </is>
      </c>
      <c r="U28" s="2" t="inlineStr">
        <is>
          <t>[verify]</t>
        </is>
      </c>
      <c r="V28" s="2" t="inlineStr">
        <is>
          <t>[verify]</t>
        </is>
      </c>
      <c r="W28" s="2" t="inlineStr">
        <is>
          <t>Mean-variance</t>
        </is>
      </c>
      <c r="X28" s="2" t="inlineStr">
        <is>
          <t>Market-neutral factors are strongly and robustly predictable; timing substantially improves performance relative to static factor investing.</t>
        </is>
      </c>
      <c r="Y28" s="2" t="inlineStr">
        <is>
          <t>Shows the optimal timing portfolio equals the SDF; disciplined low-dimensional timing.</t>
        </is>
      </c>
      <c r="Z28" s="2" t="inlineStr">
        <is>
          <t>Factor-level; gross of stock-level implementation [inference].</t>
        </is>
      </c>
      <c r="AA28" s="2" t="inlineStr">
        <is>
          <t>Stock-level implementation of timed signals.</t>
        </is>
      </c>
      <c r="AB28" s="2" t="inlineStr">
        <is>
          <t>Factor-level timing</t>
        </is>
      </c>
      <c r="AC28" s="2" t="inlineStr">
        <is>
          <t>Use PC-valuation predictors as state variables [inference].</t>
        </is>
      </c>
      <c r="AD28" s="3" t="n">
        <v>4</v>
      </c>
      <c r="AE28" s="2" t="inlineStr">
        <is>
          <t>Detailed core entry</t>
        </is>
      </c>
      <c r="AF28" s="2" t="inlineStr">
        <is>
          <t>DOI from publisher page/search; Crossref-confirmed</t>
        </is>
      </c>
    </row>
    <row r="29">
      <c r="A29" s="2" t="inlineStr">
        <is>
          <t>FIM2018</t>
        </is>
      </c>
      <c r="B29" s="2" t="inlineStr">
        <is>
          <t>Trading Costs</t>
        </is>
      </c>
      <c r="C29" s="2" t="inlineStr">
        <is>
          <t>Frazzini, A.; Israel, R.; Moskowitz, T.J.</t>
        </is>
      </c>
      <c r="D29" s="3" t="n">
        <v>2018</v>
      </c>
      <c r="E29" s="2" t="inlineStr">
        <is>
          <t>Working paper (SSRN 3229719)</t>
        </is>
      </c>
      <c r="F29" s="2" t="inlineStr">
        <is>
          <t>WP</t>
        </is>
      </c>
      <c r="G29" s="4" t="inlineStr">
        <is>
          <t>https://papers.ssrn.com/sol3/papers.cfm?abstract_id=3229719</t>
        </is>
      </c>
      <c r="H29" s="2" t="inlineStr">
        <is>
          <t>TC &amp; implementability</t>
        </is>
      </c>
      <c r="I29" s="3" t="inlineStr">
        <is>
          <t>Yes</t>
        </is>
      </c>
      <c r="J29" s="2" t="inlineStr">
        <is>
          <t>What are actual institutional trading costs across trade types, stock characteristics, sizes, time and exchanges?</t>
        </is>
      </c>
      <c r="K29" s="2" t="inlineStr">
        <is>
          <t>$1.7 trillion of live trade execution data from a large institutional manager, 21 developed markets, 19 years</t>
        </is>
      </c>
      <c r="L29" s="2" t="inlineStr">
        <is>
          <t>Developed equity markets</t>
        </is>
      </c>
      <c r="M29" s="2" t="inlineStr">
        <is>
          <t>Trade level</t>
        </is>
      </c>
      <c r="N29" s="2" t="inlineStr">
        <is>
          <t>n/a</t>
        </is>
      </c>
      <c r="O29" s="2" t="inlineStr">
        <is>
          <t>n/a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Prior cost estimates</t>
        </is>
      </c>
      <c r="S29" s="2" t="inlineStr">
        <is>
          <t>Price impact / implementation shortfall</t>
        </is>
      </c>
      <c r="T29" s="2" t="inlineStr">
        <is>
          <t>19-year sample</t>
        </is>
      </c>
      <c r="U29" s="2" t="inlineStr">
        <is>
          <t>Measured directly</t>
        </is>
      </c>
      <c r="V29" s="2" t="inlineStr">
        <is>
          <t>n/a</t>
        </is>
      </c>
      <c r="W29" s="2" t="inlineStr">
        <is>
          <t>n/a</t>
        </is>
      </c>
      <c r="X29" s="2" t="inlineStr">
        <is>
          <t>Actual trading costs are an order of magnitude smaller than previous studies suggest.</t>
        </is>
      </c>
      <c r="Y29" s="2" t="inlineStr">
        <is>
          <t>Best available calibration anchor for institutional price impact.</t>
        </is>
      </c>
      <c r="Z29" s="2" t="inlineStr">
        <is>
          <t>Single manager's execution; not public data.</t>
        </is>
      </c>
      <c r="AA29" s="2" t="inlineStr">
        <is>
          <t>n/a</t>
        </is>
      </c>
      <c r="AB29" s="2" t="inlineStr">
        <is>
          <t>Cost calibration uncertainty</t>
        </is>
      </c>
      <c r="AC29" s="2" t="inlineStr">
        <is>
          <t>Use as calibration range; run cost-multiplier sensitivity [inference].</t>
        </is>
      </c>
      <c r="AD29" s="3" t="n">
        <v>4</v>
      </c>
      <c r="AE29" s="2" t="inlineStr">
        <is>
          <t>Detailed core entry</t>
        </is>
      </c>
      <c r="AF29" s="2" t="inlineStr">
        <is>
          <t>Working paper (journal DOI not available/verified)</t>
        </is>
      </c>
    </row>
    <row r="30">
      <c r="A30" s="2" t="inlineStr">
        <is>
          <t>MP2016</t>
        </is>
      </c>
      <c r="B30" s="2" t="inlineStr">
        <is>
          <t>Does Academic Research Destroy Stock Return Predictability?</t>
        </is>
      </c>
      <c r="C30" s="2" t="inlineStr">
        <is>
          <t>McLean, R.D.; Pontiff, J.</t>
        </is>
      </c>
      <c r="D30" s="3" t="n">
        <v>2016</v>
      </c>
      <c r="E30" s="2" t="inlineStr">
        <is>
          <t>Journal of Finance 71(1):5-32</t>
        </is>
      </c>
      <c r="F30" s="2" t="inlineStr">
        <is>
          <t>T1 General Finance</t>
        </is>
      </c>
      <c r="G30" s="4" t="inlineStr">
        <is>
          <t>https://doi.org/10.1111/jofi.12365</t>
        </is>
      </c>
      <c r="H30" s="2" t="inlineStr">
        <is>
          <t>Replication &amp; multiple testing</t>
        </is>
      </c>
      <c r="I30" s="3" t="inlineStr">
        <is>
          <t>Yes</t>
        </is>
      </c>
      <c r="J30" s="2" t="inlineStr">
        <is>
          <t>What happens to anomaly returns out of sample and after publication?</t>
        </is>
      </c>
      <c r="K30" s="2" t="inlineStr">
        <is>
          <t>97 predictors</t>
        </is>
      </c>
      <c r="L30" s="2" t="inlineStr">
        <is>
          <t>US stocks</t>
        </is>
      </c>
      <c r="M30" s="2" t="inlineStr">
        <is>
          <t>Monthly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Long-short</t>
        </is>
      </c>
      <c r="R30" s="2" t="inlineStr">
        <is>
          <t>In-sample returns</t>
        </is>
      </c>
      <c r="S30" s="2" t="inlineStr">
        <is>
          <t>Return decay</t>
        </is>
      </c>
      <c r="T30" s="2" t="inlineStr">
        <is>
          <t>Varies by predictor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n/a</t>
        </is>
      </c>
      <c r="X30" s="2" t="inlineStr">
        <is>
          <t>Portfolio returns are 26% lower out of sample and 58% lower post-publication.</t>
        </is>
      </c>
      <c r="Y30" s="2" t="inlineStr">
        <is>
          <t>Documented signal decay after publication.</t>
        </is>
      </c>
      <c r="Z30" s="2" t="inlineStr">
        <is>
          <t>Single-signal level.</t>
        </is>
      </c>
      <c r="AA30" s="2" t="inlineStr">
        <is>
          <t>Decay-aware combination.</t>
        </is>
      </c>
      <c r="AB30" s="2" t="inlineStr">
        <is>
          <t>Signal decay</t>
        </is>
      </c>
      <c r="AC30" s="2" t="inlineStr">
        <is>
          <t>Publication-date-aware signal availability and decay features [inference].</t>
        </is>
      </c>
      <c r="AD30" s="3" t="n">
        <v>4</v>
      </c>
      <c r="AE30" s="2" t="inlineStr">
        <is>
          <t>Detailed core entry</t>
        </is>
      </c>
      <c r="AF30" s="2" t="inlineStr">
        <is>
          <t>DOI from publisher page/search; Crossref-confirmed</t>
        </is>
      </c>
    </row>
    <row r="31">
      <c r="A31" s="2" t="inlineStr">
        <is>
          <t>RSZ2010</t>
        </is>
      </c>
      <c r="B31" s="2" t="inlineStr">
        <is>
          <t>Out-of-Sample Equity Premium Prediction: Combination Forecasts and Links to the Real Economy</t>
        </is>
      </c>
      <c r="C31" s="2" t="inlineStr">
        <is>
          <t>Rapach, D.E.; Strauss, J.K.; Zhou, G.</t>
        </is>
      </c>
      <c r="D31" s="3" t="n">
        <v>2010</v>
      </c>
      <c r="E31" s="2" t="inlineStr">
        <is>
          <t>Review of Financial Studies 23(2):821-862</t>
        </is>
      </c>
      <c r="F31" s="2" t="inlineStr">
        <is>
          <t>T1 General Finance</t>
        </is>
      </c>
      <c r="G31" s="4" t="inlineStr">
        <is>
          <t>https://doi.org/10.1093/rfs/hhp063</t>
        </is>
      </c>
      <c r="H31" s="2" t="inlineStr">
        <is>
          <t>Factor timing &amp; regimes</t>
        </is>
      </c>
      <c r="I31" s="3" t="inlineStr">
        <is>
          <t>Yes</t>
        </is>
      </c>
      <c r="J31" s="2" t="inlineStr">
        <is>
          <t>Can combining individual predictive-regression forecasts beat the historical average out of sample?</t>
        </is>
      </c>
      <c r="K31" s="2" t="inlineStr">
        <is>
          <t>US equity premium with Welch-Goyal predictors</t>
        </is>
      </c>
      <c r="L31" s="2" t="inlineStr">
        <is>
          <t>Market index</t>
        </is>
      </c>
      <c r="M31" s="2" t="inlineStr">
        <is>
          <t>Quarterly [verify]</t>
        </is>
      </c>
      <c r="N31" s="2" t="inlineStr">
        <is>
          <t>Economic predictors</t>
        </is>
      </c>
      <c r="O31" s="2" t="inlineStr">
        <is>
          <t>Forecast combination (mean, median, trimmed, discount-MSFE)</t>
        </is>
      </c>
      <c r="P31" s="2" t="inlineStr">
        <is>
          <t>Forecast combination weights</t>
        </is>
      </c>
      <c r="Q31" s="2" t="inlineStr">
        <is>
          <t>Asset allocation utility gains</t>
        </is>
      </c>
      <c r="R31" s="2" t="inlineStr">
        <is>
          <t>Historical average</t>
        </is>
      </c>
      <c r="S31" s="2" t="inlineStr">
        <is>
          <t>Out-of-sample R2, utility gains</t>
        </is>
      </c>
      <c r="T31" s="2" t="inlineStr">
        <is>
          <t>[verify]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Mean-variance investor</t>
        </is>
      </c>
      <c r="X31" s="2" t="inlineStr">
        <is>
          <t>Combination forecasts deliver consistent out-of-sample gains because model uncertainty and instability impair individual models.</t>
        </is>
      </c>
      <c r="Y31" s="2" t="inlineStr">
        <is>
          <t>Classic evidence that simple combination dominates under instability.</t>
        </is>
      </c>
      <c r="Z31" s="2" t="inlineStr">
        <is>
          <t>Time-series market prediction only.</t>
        </is>
      </c>
      <c r="AA31" s="2" t="inlineStr">
        <is>
          <t>Cross-sectional signal combination.</t>
        </is>
      </c>
      <c r="AB31" s="2" t="inlineStr">
        <is>
          <t>Combination vs selection</t>
        </is>
      </c>
      <c r="AC31" s="2" t="inlineStr">
        <is>
          <t>Simple averaging as a benchmark for dynamic weights [inference].</t>
        </is>
      </c>
      <c r="AD31" s="3" t="n">
        <v>4</v>
      </c>
      <c r="AE31" s="2" t="inlineStr">
        <is>
          <t>Detailed core entry</t>
        </is>
      </c>
      <c r="AF31" s="2" t="inlineStr">
        <is>
          <t>DOI from publisher page/search; Crossref-confirmed</t>
        </is>
      </c>
    </row>
    <row r="32">
      <c r="A32" s="2" t="inlineStr">
        <is>
          <t>BSCV2009</t>
        </is>
      </c>
      <c r="B32" s="2" t="inlineStr">
        <is>
          <t>Parametric Portfolio Policies: Exploiting Characteristics in the Cross-Section of Equity Returns</t>
        </is>
      </c>
      <c r="C32" s="2" t="inlineStr">
        <is>
          <t>Brandt, M.W.; Santa-Clara, P.; Valkanov, R.</t>
        </is>
      </c>
      <c r="D32" s="3" t="n">
        <v>2009</v>
      </c>
      <c r="E32" s="2" t="inlineStr">
        <is>
          <t>Review of Financial Studies 22(9):3411-3447</t>
        </is>
      </c>
      <c r="F32" s="2" t="inlineStr">
        <is>
          <t>T1 General Finance</t>
        </is>
      </c>
      <c r="G32" s="4" t="inlineStr">
        <is>
          <t>https://doi.org/10.1093/rfs/hhp003</t>
        </is>
      </c>
      <c r="H32" s="2" t="inlineStr">
        <is>
          <t>Portfolio construction</t>
        </is>
      </c>
      <c r="I32" s="3" t="inlineStr">
        <is>
          <t>Yes</t>
        </is>
      </c>
      <c r="J32" s="2" t="inlineStr">
        <is>
          <t>Can portfolio weights be modelled directly as a function of stock characteristics instead of estimating return distributions?</t>
        </is>
      </c>
      <c r="K32" s="2" t="inlineStr">
        <is>
          <t>US equities [verify dates]</t>
        </is>
      </c>
      <c r="L32" s="2" t="inlineStr">
        <is>
          <t>US common stocks</t>
        </is>
      </c>
      <c r="M32" s="2" t="inlineStr">
        <is>
          <t>Monthly</t>
        </is>
      </c>
      <c r="N32" s="2" t="inlineStr">
        <is>
          <t>Size, book-to-market, momentum</t>
        </is>
      </c>
      <c r="O32" s="2" t="inlineStr">
        <is>
          <t>Parametric (linear) weight function estimated by maximising average utility</t>
        </is>
      </c>
      <c r="P32" s="2" t="inlineStr">
        <is>
          <t>Weights tilt linearly on standardized characteristics</t>
        </is>
      </c>
      <c r="Q32" s="2" t="inlineStr">
        <is>
          <t>Benchmark weights plus characteristic tilts</t>
        </is>
      </c>
      <c r="R32" s="2" t="inlineStr">
        <is>
          <t>Market portfolio</t>
        </is>
      </c>
      <c r="S32" s="2" t="inlineStr">
        <is>
          <t>Certainty equivalent, Sharpe</t>
        </is>
      </c>
      <c r="T32" s="2" t="inlineStr">
        <is>
          <t>[verify]</t>
        </is>
      </c>
      <c r="U32" s="2" t="inlineStr">
        <is>
          <t>Extension discussed [verify]</t>
        </is>
      </c>
      <c r="V32" s="2" t="inlineStr">
        <is>
          <t>Reported [verify]</t>
        </is>
      </c>
      <c r="W32" s="2" t="inlineStr">
        <is>
          <t>Utility (CRRA)</t>
        </is>
      </c>
      <c r="X32" s="2" t="inlineStr">
        <is>
          <t>Direct weight modelling scales to large cross-sections and delivers economically large gains.</t>
        </is>
      </c>
      <c r="Y32" s="2" t="inlineStr">
        <is>
          <t>Foundation of learning portfolio weights under an economic objective.</t>
        </is>
      </c>
      <c r="Z32" s="2" t="inlineStr">
        <is>
          <t>Linear, few characteristics, static coefficients.</t>
        </is>
      </c>
      <c r="AA32" s="2" t="inlineStr">
        <is>
          <t>Nonlinearity, many signals, costs, state dependence.</t>
        </is>
      </c>
      <c r="AB32" s="2" t="inlineStr">
        <is>
          <t>Static linear policies</t>
        </is>
      </c>
      <c r="AC32" s="2" t="inlineStr">
        <is>
          <t>Nonlinear/conditional PPP generalisations (see DMNU2020, SWZ2023, JKMP2026).</t>
        </is>
      </c>
      <c r="AD32" s="3" t="n">
        <v>4</v>
      </c>
      <c r="AE32" s="2" t="inlineStr">
        <is>
          <t>Detailed core entry</t>
        </is>
      </c>
      <c r="AF32" s="2" t="inlineStr">
        <is>
          <t>DOI from publisher page/search; Crossref-confirmed</t>
        </is>
      </c>
    </row>
    <row r="33">
      <c r="A33" s="2" t="inlineStr">
        <is>
          <t>BLACKROCK2025</t>
        </is>
      </c>
      <c r="B33" s="2" t="inlineStr">
        <is>
          <t>Augmented Investment Management: A systematic framework for designing alpha models</t>
        </is>
      </c>
      <c r="C33" s="2" t="inlineStr">
        <is>
          <t>BlackRock Systematic</t>
        </is>
      </c>
      <c r="D33" s="3" t="n">
        <v>2025</v>
      </c>
      <c r="E33" s="2" t="inlineStr">
        <is>
          <t>Industry white paper (BlackRock, Nov 2025; for professional investors)</t>
        </is>
      </c>
      <c r="F33" s="2" t="inlineStr">
        <is>
          <t>Industry</t>
        </is>
      </c>
      <c r="G33" s="4" t="inlineStr">
        <is>
          <t>https://www.blackrock.com/gls-download/literature/whitepaper/augmented-investment-management.pdf</t>
        </is>
      </c>
      <c r="H33" s="2" t="inlineStr">
        <is>
          <t>Industry</t>
        </is>
      </c>
      <c r="I33" s="3" t="inlineStr">
        <is>
          <t>Yes</t>
        </is>
      </c>
      <c r="J33" s="2" t="inlineStr">
        <is>
          <t>How can ML automate the combination of a large signal library into alpha forecasts for a portfolio optimizer?</t>
        </is>
      </c>
      <c r="K33" s="2" t="inlineStr">
        <is>
          <t>Proprietary signal library (~1,200 stock-selection signals by 2025 per Figure 1); 10-20 years of training data</t>
        </is>
      </c>
      <c r="L33" s="2" t="inlineStr">
        <is>
          <t>Illustrations on developed-market / MSCI universes</t>
        </is>
      </c>
      <c r="M33" s="2" t="inlineStr">
        <is>
          <t>Not specified</t>
        </is>
      </c>
      <c r="N33" s="2" t="inlineStr">
        <is>
          <t>Signals from financial statements, market indicators, news, analyst reports, alternative data</t>
        </is>
      </c>
      <c r="O33" s="2" t="inlineStr">
        <is>
          <t>Regularised linear models, gradient boosting ensembles, neural networks, proprietary variants; large configuration search; cross-validation</t>
        </is>
      </c>
      <c r="P33" s="2" t="inlineStr">
        <is>
          <t>Reframes signal weighting as forecasting excess returns (alpha forecasts)</t>
        </is>
      </c>
      <c r="Q33" s="2" t="inlineStr">
        <is>
          <t>Separate high-fidelity optimizer with transaction costs, borrow costs, fund constraints; parameters tuned to maximise a metric such as IR</t>
        </is>
      </c>
      <c r="R33" s="2" t="inlineStr">
        <is>
          <t>Discretionary weighting (conceptually); baseline vs defensive model</t>
        </is>
      </c>
      <c r="S33" s="2" t="inlineStr">
        <is>
          <t>Information ratio; illustrative backtests</t>
        </is>
      </c>
      <c r="T33" s="2" t="inlineStr">
        <is>
          <t>Illustrative backtests 2008-2022</t>
        </is>
      </c>
      <c r="U33" s="2" t="inlineStr">
        <is>
          <t>Inside the performance simulator and optimizer; details not disclosed</t>
        </is>
      </c>
      <c r="V33" s="2" t="inlineStr">
        <is>
          <t>Not reported</t>
        </is>
      </c>
      <c r="W33" s="2" t="inlineStr">
        <is>
          <t>Risk model in optimizer; neutralisation of risk factors optional</t>
        </is>
      </c>
      <c r="X33" s="2" t="inlineStr">
        <is>
          <t>Qualitative framework; illustrative defensive model trained on resampled negative regimes had lower drawdowns but about a 20% performance haircut; Shapley-based attribution reveals a nonlinear volatility effect.</t>
        </is>
      </c>
      <c r="Y33" s="2" t="inlineStr">
        <is>
          <t>Documents an industrial predict-then-optimize ML pipeline with regime resampling and SHAP-style attribution.</t>
        </is>
      </c>
      <c r="Z33" s="2" t="inlineStr">
        <is>
          <t>No out-of-sample statistical evidence, no cost-adjusted results, proprietary data; regime-awareness by resampling, not state-conditional weights; hyperparameter search inflates trial counts.</t>
        </is>
      </c>
      <c r="AA33" s="2" t="inlineStr">
        <is>
          <t>Whether ML combination adds value net of costs, which component creates it, and how to adapt to signal decay (listed by the authors as ongoing research: adaptive/online learning, domain adaptation).</t>
        </is>
      </c>
      <c r="AB33" s="2" t="inlineStr">
        <is>
          <t>Industry framework without inference</t>
        </is>
      </c>
      <c r="AC33" s="2" t="inlineStr">
        <is>
          <t>Our design makes each AIM component a testable factor [inference].</t>
        </is>
      </c>
      <c r="AD33" s="3" t="n">
        <v>3</v>
      </c>
      <c r="AE33" s="2" t="inlineStr">
        <is>
          <t>Detailed core entry</t>
        </is>
      </c>
      <c r="AF33" s="2" t="inlineStr">
        <is>
          <t>Industry white paper (no DOI)</t>
        </is>
      </c>
    </row>
    <row r="34">
      <c r="A34" s="2" t="inlineStr">
        <is>
          <t>KMZ2024</t>
        </is>
      </c>
      <c r="B34" s="2" t="inlineStr">
        <is>
          <t>The Virtue of Complexity in Return Prediction</t>
        </is>
      </c>
      <c r="C34" s="2" t="inlineStr">
        <is>
          <t>Kelly, B.; Malamud, S.; Zhou, K.</t>
        </is>
      </c>
      <c r="D34" s="3" t="n">
        <v>2024</v>
      </c>
      <c r="E34" s="2" t="inlineStr">
        <is>
          <t>Journal of Finance 79(1):459-503</t>
        </is>
      </c>
      <c r="F34" s="2" t="inlineStr">
        <is>
          <t>T1 General Finance</t>
        </is>
      </c>
      <c r="G34" s="4" t="inlineStr">
        <is>
          <t>https://doi.org/10.1111/jofi.13298</t>
        </is>
      </c>
      <c r="H34" s="2" t="inlineStr">
        <is>
          <t>ML asset pricing</t>
        </is>
      </c>
      <c r="I34" s="3" t="inlineStr">
        <is>
          <t>Yes</t>
        </is>
      </c>
      <c r="J34" s="2" t="inlineStr">
        <is>
          <t>Can models with more parameters than observations improve out-of-sample return prediction?</t>
        </is>
      </c>
      <c r="K34" s="2" t="inlineStr">
        <is>
          <t>US market return with standard predictors</t>
        </is>
      </c>
      <c r="L34" s="2" t="inlineStr">
        <is>
          <t>Market index (timing)</t>
        </is>
      </c>
      <c r="M34" s="2" t="inlineStr">
        <is>
          <t>Monthly</t>
        </is>
      </c>
      <c r="N34" s="2" t="inlineStr">
        <is>
          <t>Welch-Goyal-type predictors [verify count]</t>
        </is>
      </c>
      <c r="O34" s="2" t="inlineStr">
        <is>
          <t>Random Fourier features ridge regression</t>
        </is>
      </c>
      <c r="P34" s="2" t="inlineStr">
        <is>
          <t>n/a</t>
        </is>
      </c>
      <c r="Q34" s="2" t="inlineStr">
        <is>
          <t>Market-timing strategy</t>
        </is>
      </c>
      <c r="R34" s="2" t="inlineStr">
        <is>
          <t>Simple models</t>
        </is>
      </c>
      <c r="S34" s="2" t="inlineStr">
        <is>
          <t>R2, Sharpe, IR, alpha</t>
        </is>
      </c>
      <c r="T34" s="2" t="inlineStr">
        <is>
          <t>[verify]</t>
        </is>
      </c>
      <c r="U34" s="2" t="inlineStr">
        <is>
          <t>[verify]</t>
        </is>
      </c>
      <c r="V34" s="2" t="inlineStr">
        <is>
          <t>n/a</t>
        </is>
      </c>
      <c r="W34" s="2" t="inlineStr">
        <is>
          <t>n/a</t>
        </is>
      </c>
      <c r="X34" s="2" t="inlineStr">
        <is>
          <t>Complex models dominate simple ones in theory and US market timing; strategies divest before recessions (14 of 15 out of sample).</t>
        </is>
      </c>
      <c r="Y34" s="2" t="inlineStr">
        <is>
          <t>Theoretical rationale for high-complexity ML in return prediction.</t>
        </is>
      </c>
      <c r="Z34" s="2" t="inlineStr">
        <is>
          <t>Time-series market timing.</t>
        </is>
      </c>
      <c r="AA34" s="2" t="inlineStr">
        <is>
          <t>Complexity vs costs in cross-sectional combination.</t>
        </is>
      </c>
      <c r="AB34" s="2" t="inlineStr">
        <is>
          <t>Complexity-cost trade-off</t>
        </is>
      </c>
      <c r="AC34" s="2" t="inlineStr">
        <is>
          <t>Complexity dimension in design [inference].</t>
        </is>
      </c>
      <c r="AD34" s="3" t="n">
        <v>3</v>
      </c>
      <c r="AE34" s="2" t="inlineStr">
        <is>
          <t>Detailed core entry</t>
        </is>
      </c>
      <c r="AF34" s="2" t="inlineStr">
        <is>
          <t>DOI from publisher page/search; Crossref-confirmed</t>
        </is>
      </c>
    </row>
    <row r="35">
      <c r="A35" s="2" t="inlineStr">
        <is>
          <t>CFMZ2023</t>
        </is>
      </c>
      <c r="B35" s="2" t="inlineStr">
        <is>
          <t>Machine Learning Goes Global: Cross-Sectional Return Predictability in International Stock Markets</t>
        </is>
      </c>
      <c r="C35" s="2" t="inlineStr">
        <is>
          <t>Cakici, N.; Fieberg, C.; Metko, D.; Zaremba, A.</t>
        </is>
      </c>
      <c r="D35" s="3" t="n">
        <v>2023</v>
      </c>
      <c r="E35" s="2" t="inlineStr">
        <is>
          <t>Journal of Economic Dynamics and Control 155:104725</t>
        </is>
      </c>
      <c r="F35" s="2" t="inlineStr">
        <is>
          <t>T2 Quant/Field</t>
        </is>
      </c>
      <c r="G35" s="4" t="inlineStr">
        <is>
          <t>https://doi.org/10.1016/j.jedc.2023.104725</t>
        </is>
      </c>
      <c r="H35" s="2" t="inlineStr">
        <is>
          <t>ML asset pricing</t>
        </is>
      </c>
      <c r="I35" s="3" t="inlineStr">
        <is>
          <t>Yes</t>
        </is>
      </c>
      <c r="J35" s="2" t="inlineStr">
        <is>
          <t>How does ML return predictability vary across 46 stock markets?</t>
        </is>
      </c>
      <c r="K35" s="2" t="inlineStr">
        <is>
          <t>46 countries, 148 firm characteristics</t>
        </is>
      </c>
      <c r="L35" s="2" t="inlineStr">
        <is>
          <t>International stocks</t>
        </is>
      </c>
      <c r="M35" s="2" t="inlineStr">
        <is>
          <t>Monthly</t>
        </is>
      </c>
      <c r="N35" s="2" t="inlineStr">
        <is>
          <t>148 characteristics</t>
        </is>
      </c>
      <c r="O35" s="2" t="inlineStr">
        <is>
          <t>Repertoire of ML models and their combination</t>
        </is>
      </c>
      <c r="P35" s="2" t="inlineStr">
        <is>
          <t>Model combinations</t>
        </is>
      </c>
      <c r="Q35" s="2" t="inlineStr">
        <is>
          <t>Long-short</t>
        </is>
      </c>
      <c r="R35" s="2" t="inlineStr">
        <is>
          <t>Individual models</t>
        </is>
      </c>
      <c r="S35" s="2" t="inlineStr">
        <is>
          <t>Returns, alphas</t>
        </is>
      </c>
      <c r="T35" s="2" t="inlineStr">
        <is>
          <t>[verify]</t>
        </is>
      </c>
      <c r="U35" s="2" t="inlineStr">
        <is>
          <t>[verify]</t>
        </is>
      </c>
      <c r="V35" s="2" t="inlineStr">
        <is>
          <t>[verify]</t>
        </is>
      </c>
      <c r="W35" s="2" t="inlineStr">
        <is>
          <t>n/a</t>
        </is>
      </c>
      <c r="X35" s="2" t="inlineStr">
        <is>
          <t>Predictability comes mainly from momentum, reversal, value and size; combining models is particularly effective; performance depends on firm size, recency of information, market breadth and idiosyncratic risk.</t>
        </is>
      </c>
      <c r="Y35" s="2" t="inlineStr">
        <is>
          <t>Global cross-country evidence.</t>
        </is>
      </c>
      <c r="Z35" s="2" t="inlineStr">
        <is>
          <t>Gross focus [verify].</t>
        </is>
      </c>
      <c r="AA35" s="2" t="inlineStr">
        <is>
          <t>Implementable combination.</t>
        </is>
      </c>
      <c r="AB35" s="2" t="inlineStr">
        <is>
          <t>International breadth</t>
        </is>
      </c>
      <c r="AC35" s="2" t="inlineStr">
        <is>
          <t>Out-of-US robustness [inference].</t>
        </is>
      </c>
      <c r="AD35" s="3" t="n">
        <v>3</v>
      </c>
      <c r="AE35" s="2" t="inlineStr">
        <is>
          <t>Detailed core entry</t>
        </is>
      </c>
      <c r="AF35" s="2" t="inlineStr">
        <is>
          <t>Crossref match (title, author, year, journal)</t>
        </is>
      </c>
    </row>
    <row r="36">
      <c r="A36" s="2" t="inlineStr">
        <is>
          <t>SPUR2026</t>
        </is>
      </c>
      <c r="B36" s="2" t="inlineStr">
        <is>
          <t>Spurious Predictability in Financial Machine Learning</t>
        </is>
      </c>
      <c r="C36" s="2" t="inlineStr">
        <is>
          <t>[verify authors]</t>
        </is>
      </c>
      <c r="D36" s="3" t="n">
        <v>2026</v>
      </c>
      <c r="E36" s="2" t="inlineStr">
        <is>
          <t>Working paper (arXiv 2604.15531)</t>
        </is>
      </c>
      <c r="F36" s="2" t="inlineStr">
        <is>
          <t>WP</t>
        </is>
      </c>
      <c r="G36" s="2" t="inlineStr"/>
      <c r="H36" s="2" t="inlineStr">
        <is>
          <t>Statistical inference</t>
        </is>
      </c>
      <c r="I36" s="3" t="inlineStr">
        <is>
          <t>No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</t>
        </is>
      </c>
      <c r="V36" s="2" t="inlineStr">
        <is>
          <t>—</t>
        </is>
      </c>
      <c r="W36" s="2" t="inlineStr">
        <is>
          <t>—</t>
        </is>
      </c>
      <c r="X36" s="2" t="inlineStr">
        <is>
          <t>Adaptive specification search produces statistically significant backtests under martingale-difference nulls; proposes a falsification audit with zero-predictability reference classes, microstructure placebos and a multiplicity-adjusted inflation gap.</t>
        </is>
      </c>
      <c r="Y36" s="2" t="inlineStr">
        <is>
          <t>—</t>
        </is>
      </c>
      <c r="Z36" s="2" t="inlineStr">
        <is>
          <t>—</t>
        </is>
      </c>
      <c r="AA36" s="2" t="inlineStr">
        <is>
          <t>—</t>
        </is>
      </c>
      <c r="AB36" s="2" t="inlineStr">
        <is>
          <t>—</t>
        </is>
      </c>
      <c r="AC36" s="2" t="inlineStr">
        <is>
          <t>—</t>
        </is>
      </c>
      <c r="AD36" s="3" t="n">
        <v>5</v>
      </c>
      <c r="AE36" s="2" t="inlineStr">
        <is>
          <t>Adopted as our credibility layer; raises the bar that competing submissions must clear.</t>
        </is>
      </c>
      <c r="AF36" s="2" t="inlineStr">
        <is>
          <t>Working paper (journal DOI not available/verified)</t>
        </is>
      </c>
    </row>
    <row r="37">
      <c r="A37" s="2" t="inlineStr">
        <is>
          <t>FRLUX2025</t>
        </is>
      </c>
      <c r="B37" s="2" t="inlineStr">
        <is>
          <t>FR-LUX: Friction-Aware, Regime-Conditioned Policy Optimization for Implementable Portfolio Management</t>
        </is>
      </c>
      <c r="C37" s="2" t="inlineStr">
        <is>
          <t>Zhang, J.</t>
        </is>
      </c>
      <c r="D37" s="3" t="n">
        <v>2025</v>
      </c>
      <c r="E37" s="2" t="inlineStr">
        <is>
          <t>Working paper (arXiv 2510.02986)</t>
        </is>
      </c>
      <c r="F37" s="2" t="inlineStr">
        <is>
          <t>WP</t>
        </is>
      </c>
      <c r="G37" s="2" t="inlineStr"/>
      <c r="H37" s="2" t="inlineStr">
        <is>
          <t>Factor timing &amp; regimes</t>
        </is>
      </c>
      <c r="I37" s="3" t="inlineStr">
        <is>
          <t>No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</t>
        </is>
      </c>
      <c r="V37" s="2" t="inlineStr">
        <is>
          <t>—</t>
        </is>
      </c>
      <c r="W37" s="2" t="inlineStr">
        <is>
          <t>—</t>
        </is>
      </c>
      <c r="X37" s="2" t="inlineStr">
        <is>
          <t>Reinforcement-learning policy with proportional and impact costs inside the reward, inaction bands, conditioning on four volatility-liquidity regimes; evaluated on a regime x cost grid with bootstrap CIs and multiple-testing corrections; reports a flatter cost-performance slope than baselines.</t>
        </is>
      </c>
      <c r="Y37" s="2" t="inlineStr">
        <is>
          <t>—</t>
        </is>
      </c>
      <c r="Z37" s="2" t="inlineStr">
        <is>
          <t>—</t>
        </is>
      </c>
      <c r="AA37" s="2" t="inlineStr">
        <is>
          <t>—</t>
        </is>
      </c>
      <c r="AB37" s="2" t="inlineStr">
        <is>
          <t>—</t>
        </is>
      </c>
      <c r="AC37" s="2" t="inlineStr">
        <is>
          <t>—</t>
        </is>
      </c>
      <c r="AD37" s="3" t="n">
        <v>5</v>
      </c>
      <c r="AE37" s="2" t="inlineStr">
        <is>
          <t>Closest new prior art for the conditioning x cost interaction (gap G2); cite and differentiate (single method vs factorial attribution; small asset space vs ~150-signal cross-section).</t>
        </is>
      </c>
      <c r="AF37" s="2" t="inlineStr">
        <is>
          <t>Working paper (journal DOI not available/verified)</t>
        </is>
      </c>
    </row>
    <row r="38">
      <c r="A38" s="2" t="inlineStr">
        <is>
          <t>AHM2019</t>
        </is>
      </c>
      <c r="B38" s="2" t="inlineStr">
        <is>
          <t>A Backtesting Protocol in the Era of Machine Learning</t>
        </is>
      </c>
      <c r="C38" s="2" t="inlineStr">
        <is>
          <t>Arnott, R.; Harvey, C.R.; Markowitz, H.</t>
        </is>
      </c>
      <c r="D38" s="3" t="n">
        <v>2019</v>
      </c>
      <c r="E38" s="2" t="inlineStr">
        <is>
          <t>Journal of Financial Data Science 1(1):64-74</t>
        </is>
      </c>
      <c r="F38" s="2" t="inlineStr">
        <is>
          <t>T3 Practitioner</t>
        </is>
      </c>
      <c r="G38" s="4" t="inlineStr">
        <is>
          <t>https://doi.org/10.3905/jfds.2019.1.064</t>
        </is>
      </c>
      <c r="H38" s="2" t="inlineStr">
        <is>
          <t>Statistical inference</t>
        </is>
      </c>
      <c r="I38" s="3" t="inlineStr">
        <is>
          <t>No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</t>
        </is>
      </c>
      <c r="V38" s="2" t="inlineStr">
        <is>
          <t>—</t>
        </is>
      </c>
      <c r="W38" s="2" t="inlineStr">
        <is>
          <t>—</t>
        </is>
      </c>
      <c r="X38" s="2" t="inlineStr">
        <is>
          <t>Checklist-style protocol for credible ML backtests.</t>
        </is>
      </c>
      <c r="Y38" s="2" t="inlineStr">
        <is>
          <t>—</t>
        </is>
      </c>
      <c r="Z38" s="2" t="inlineStr">
        <is>
          <t>—</t>
        </is>
      </c>
      <c r="AA38" s="2" t="inlineStr">
        <is>
          <t>—</t>
        </is>
      </c>
      <c r="AB38" s="2" t="inlineStr">
        <is>
          <t>—</t>
        </is>
      </c>
      <c r="AC38" s="2" t="inlineStr">
        <is>
          <t>—</t>
        </is>
      </c>
      <c r="AD38" s="3" t="n">
        <v>5</v>
      </c>
      <c r="AE38" s="2" t="inlineStr">
        <is>
          <t>Basis for reviewer-proof checklist.</t>
        </is>
      </c>
      <c r="AF38" s="2" t="inlineStr">
        <is>
          <t>Crossref match (title, author, year, journal)</t>
        </is>
      </c>
    </row>
    <row r="39">
      <c r="A39" s="2" t="inlineStr">
        <is>
          <t>BBLZ2017</t>
        </is>
      </c>
      <c r="B39" s="2" t="inlineStr">
        <is>
          <t>The Probability of Backtest Overfitting</t>
        </is>
      </c>
      <c r="C39" s="2" t="inlineStr">
        <is>
          <t>Bailey, D.H.; Borwein, J.; Lopez de Prado, M.; Zhu, Q.J.</t>
        </is>
      </c>
      <c r="D39" s="3" t="n">
        <v>2017</v>
      </c>
      <c r="E39" s="2" t="inlineStr">
        <is>
          <t>Journal of Computational Finance 20(4):39-69</t>
        </is>
      </c>
      <c r="F39" s="2" t="inlineStr">
        <is>
          <t>T2 Quant/Field</t>
        </is>
      </c>
      <c r="G39" s="4" t="inlineStr">
        <is>
          <t>https://doi.org/10.21314/JCF.2016.322</t>
        </is>
      </c>
      <c r="H39" s="2" t="inlineStr">
        <is>
          <t>Statistical inference</t>
        </is>
      </c>
      <c r="I39" s="3" t="inlineStr">
        <is>
          <t>No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—</t>
        </is>
      </c>
      <c r="V39" s="2" t="inlineStr">
        <is>
          <t>—</t>
        </is>
      </c>
      <c r="W39" s="2" t="inlineStr">
        <is>
          <t>—</t>
        </is>
      </c>
      <c r="X39" s="2" t="inlineStr">
        <is>
          <t>CSCV estimates the probability that the in-sample best configuration underperforms out of sample.</t>
        </is>
      </c>
      <c r="Y39" s="2" t="inlineStr">
        <is>
          <t>—</t>
        </is>
      </c>
      <c r="Z39" s="2" t="inlineStr">
        <is>
          <t>—</t>
        </is>
      </c>
      <c r="AA39" s="2" t="inlineStr">
        <is>
          <t>—</t>
        </is>
      </c>
      <c r="AB39" s="2" t="inlineStr">
        <is>
          <t>—</t>
        </is>
      </c>
      <c r="AC39" s="2" t="inlineStr">
        <is>
          <t>—</t>
        </is>
      </c>
      <c r="AD39" s="3" t="n">
        <v>5</v>
      </c>
      <c r="AE39" s="2" t="inlineStr">
        <is>
          <t>PBO reporting.</t>
        </is>
      </c>
      <c r="AF39" s="2" t="inlineStr">
        <is>
          <t>DOI from publisher page/search; Crossref-confirmed</t>
        </is>
      </c>
    </row>
    <row r="40">
      <c r="A40" s="2" t="inlineStr">
        <is>
          <t>HLZ2016</t>
        </is>
      </c>
      <c r="B40" s="2" t="inlineStr">
        <is>
          <t>... and the Cross-Section of Expected Returns</t>
        </is>
      </c>
      <c r="C40" s="2" t="inlineStr">
        <is>
          <t>Harvey, C.R.; Liu, Y.; Zhu, H.</t>
        </is>
      </c>
      <c r="D40" s="3" t="n">
        <v>2016</v>
      </c>
      <c r="E40" s="2" t="inlineStr">
        <is>
          <t>Review of Financial Studies 29(1):5-68</t>
        </is>
      </c>
      <c r="F40" s="2" t="inlineStr">
        <is>
          <t>T1 General Finance</t>
        </is>
      </c>
      <c r="G40" s="4" t="inlineStr">
        <is>
          <t>https://doi.org/10.1093/rfs/hhv059</t>
        </is>
      </c>
      <c r="H40" s="2" t="inlineStr">
        <is>
          <t>Replication &amp; multiple testing</t>
        </is>
      </c>
      <c r="I40" s="3" t="inlineStr">
        <is>
          <t>No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</t>
        </is>
      </c>
      <c r="V40" s="2" t="inlineStr">
        <is>
          <t>—</t>
        </is>
      </c>
      <c r="W40" s="2" t="inlineStr">
        <is>
          <t>—</t>
        </is>
      </c>
      <c r="X40" s="2" t="inlineStr">
        <is>
          <t>Multiple-testing framework for 300+ factors; new factors should clear t &gt; 3.0.</t>
        </is>
      </c>
      <c r="Y40" s="2" t="inlineStr">
        <is>
          <t>—</t>
        </is>
      </c>
      <c r="Z40" s="2" t="inlineStr">
        <is>
          <t>—</t>
        </is>
      </c>
      <c r="AA40" s="2" t="inlineStr">
        <is>
          <t>—</t>
        </is>
      </c>
      <c r="AB40" s="2" t="inlineStr">
        <is>
          <t>—</t>
        </is>
      </c>
      <c r="AC40" s="2" t="inlineStr">
        <is>
          <t>—</t>
        </is>
      </c>
      <c r="AD40" s="3" t="n">
        <v>5</v>
      </c>
      <c r="AE40" s="2" t="inlineStr">
        <is>
          <t>Significance hurdles.</t>
        </is>
      </c>
      <c r="AF40" s="2" t="inlineStr">
        <is>
          <t>DOI from publisher page/search; Crossref-confirmed</t>
        </is>
      </c>
    </row>
    <row r="41">
      <c r="A41" s="2" t="inlineStr">
        <is>
          <t>LW2008</t>
        </is>
      </c>
      <c r="B41" s="2" t="inlineStr">
        <is>
          <t>Robust Performance Hypothesis Testing with the Sharpe Ratio</t>
        </is>
      </c>
      <c r="C41" s="2" t="inlineStr">
        <is>
          <t>Ledoit, O.; Wolf, M.</t>
        </is>
      </c>
      <c r="D41" s="3" t="n">
        <v>2008</v>
      </c>
      <c r="E41" s="2" t="inlineStr">
        <is>
          <t>Journal of Empirical Finance 15(5):850-859</t>
        </is>
      </c>
      <c r="F41" s="2" t="inlineStr">
        <is>
          <t>T2 Quant/Field</t>
        </is>
      </c>
      <c r="G41" s="4" t="inlineStr">
        <is>
          <t>https://doi.org/10.1016/j.jempfin.2008.03.002</t>
        </is>
      </c>
      <c r="H41" s="2" t="inlineStr">
        <is>
          <t>Statistical inference</t>
        </is>
      </c>
      <c r="I41" s="3" t="inlineStr">
        <is>
          <t>No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inlineStr">
        <is>
          <t>—</t>
        </is>
      </c>
      <c r="Q41" s="2" t="inlineStr">
        <is>
          <t>—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</t>
        </is>
      </c>
      <c r="V41" s="2" t="inlineStr">
        <is>
          <t>—</t>
        </is>
      </c>
      <c r="W41" s="2" t="inlineStr">
        <is>
          <t>—</t>
        </is>
      </c>
      <c r="X41" s="2" t="inlineStr">
        <is>
          <t>HAC and studentised circular block bootstrap tests for Sharpe-ratio differences.</t>
        </is>
      </c>
      <c r="Y41" s="2" t="inlineStr">
        <is>
          <t>—</t>
        </is>
      </c>
      <c r="Z41" s="2" t="inlineStr">
        <is>
          <t>—</t>
        </is>
      </c>
      <c r="AA41" s="2" t="inlineStr">
        <is>
          <t>—</t>
        </is>
      </c>
      <c r="AB41" s="2" t="inlineStr">
        <is>
          <t>—</t>
        </is>
      </c>
      <c r="AC41" s="2" t="inlineStr">
        <is>
          <t>—</t>
        </is>
      </c>
      <c r="AD41" s="3" t="n">
        <v>5</v>
      </c>
      <c r="AE41" s="2" t="inlineStr">
        <is>
          <t>Primary Sharpe-difference test.</t>
        </is>
      </c>
      <c r="AF41" s="2" t="inlineStr">
        <is>
          <t>Crossref match (title, author, year, journal)</t>
        </is>
      </c>
    </row>
    <row r="42">
      <c r="A42" s="2" t="inlineStr">
        <is>
          <t>HAN2005</t>
        </is>
      </c>
      <c r="B42" s="2" t="inlineStr">
        <is>
          <t>A Test for Superior Predictive Ability</t>
        </is>
      </c>
      <c r="C42" s="2" t="inlineStr">
        <is>
          <t>Hansen, P.R.</t>
        </is>
      </c>
      <c r="D42" s="3" t="n">
        <v>2005</v>
      </c>
      <c r="E42" s="2" t="inlineStr">
        <is>
          <t>Journal of Business &amp; Economic Statistics 23(4):365-380</t>
        </is>
      </c>
      <c r="F42" s="2" t="inlineStr">
        <is>
          <t>T2 Quant/Field</t>
        </is>
      </c>
      <c r="G42" s="4" t="inlineStr">
        <is>
          <t>https://doi.org/10.1198/073500105000000063</t>
        </is>
      </c>
      <c r="H42" s="2" t="inlineStr">
        <is>
          <t>Statistical inference</t>
        </is>
      </c>
      <c r="I42" s="3" t="inlineStr">
        <is>
          <t>No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</t>
        </is>
      </c>
      <c r="V42" s="2" t="inlineStr">
        <is>
          <t>—</t>
        </is>
      </c>
      <c r="W42" s="2" t="inlineStr">
        <is>
          <t>—</t>
        </is>
      </c>
      <c r="X42" s="2" t="inlineStr">
        <is>
          <t>SPA test: more powerful and less sensitive to poor alternatives than the Reality Check.</t>
        </is>
      </c>
      <c r="Y42" s="2" t="inlineStr">
        <is>
          <t>—</t>
        </is>
      </c>
      <c r="Z42" s="2" t="inlineStr">
        <is>
          <t>—</t>
        </is>
      </c>
      <c r="AA42" s="2" t="inlineStr">
        <is>
          <t>—</t>
        </is>
      </c>
      <c r="AB42" s="2" t="inlineStr">
        <is>
          <t>—</t>
        </is>
      </c>
      <c r="AC42" s="2" t="inlineStr">
        <is>
          <t>—</t>
        </is>
      </c>
      <c r="AD42" s="3" t="n">
        <v>5</v>
      </c>
      <c r="AE42" s="2" t="inlineStr">
        <is>
          <t>Primary data-snooping test.</t>
        </is>
      </c>
      <c r="AF42" s="2" t="inlineStr">
        <is>
          <t>DOI from publisher page/search; Crossref-confirmed</t>
        </is>
      </c>
    </row>
    <row r="43">
      <c r="A43" s="2" t="inlineStr">
        <is>
          <t>WHI2000</t>
        </is>
      </c>
      <c r="B43" s="2" t="inlineStr">
        <is>
          <t>A Reality Check for Data Snooping</t>
        </is>
      </c>
      <c r="C43" s="2" t="inlineStr">
        <is>
          <t>White, H.</t>
        </is>
      </c>
      <c r="D43" s="3" t="n">
        <v>2000</v>
      </c>
      <c r="E43" s="2" t="inlineStr">
        <is>
          <t>Econometrica 68(5):1097-1126</t>
        </is>
      </c>
      <c r="F43" s="2" t="inlineStr">
        <is>
          <t>Econometrics general</t>
        </is>
      </c>
      <c r="G43" s="4" t="inlineStr">
        <is>
          <t>https://doi.org/10.1111/1468-0262.00152</t>
        </is>
      </c>
      <c r="H43" s="2" t="inlineStr">
        <is>
          <t>Statistical inference</t>
        </is>
      </c>
      <c r="I43" s="3" t="inlineStr">
        <is>
          <t>No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2" t="inlineStr">
        <is>
          <t>—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</t>
        </is>
      </c>
      <c r="V43" s="2" t="inlineStr">
        <is>
          <t>—</t>
        </is>
      </c>
      <c r="W43" s="2" t="inlineStr">
        <is>
          <t>—</t>
        </is>
      </c>
      <c r="X43" s="2" t="inlineStr">
        <is>
          <t>Bootstrap test that the best of many models does not beat a benchmark.</t>
        </is>
      </c>
      <c r="Y43" s="2" t="inlineStr">
        <is>
          <t>—</t>
        </is>
      </c>
      <c r="Z43" s="2" t="inlineStr">
        <is>
          <t>—</t>
        </is>
      </c>
      <c r="AA43" s="2" t="inlineStr">
        <is>
          <t>—</t>
        </is>
      </c>
      <c r="AB43" s="2" t="inlineStr">
        <is>
          <t>—</t>
        </is>
      </c>
      <c r="AC43" s="2" t="inlineStr">
        <is>
          <t>—</t>
        </is>
      </c>
      <c r="AD43" s="3" t="n">
        <v>5</v>
      </c>
      <c r="AE43" s="2" t="inlineStr">
        <is>
          <t>Data-snooping control.</t>
        </is>
      </c>
      <c r="AF43" s="2" t="inlineStr">
        <is>
          <t>DOI from publisher page/search; Crossref-confirmed</t>
        </is>
      </c>
    </row>
    <row r="44">
      <c r="A44" s="2" t="inlineStr">
        <is>
          <t>CW2026</t>
        </is>
      </c>
      <c r="B44" s="2" t="inlineStr">
        <is>
          <t>What Useful Alphas?</t>
        </is>
      </c>
      <c r="C44" s="2" t="inlineStr">
        <is>
          <t>Chen, A.Y.; Welch, I.</t>
        </is>
      </c>
      <c r="D44" s="3" t="n">
        <v>2026</v>
      </c>
      <c r="E44" s="2" t="inlineStr">
        <is>
          <t>Working paper (arXiv 2607.06502)</t>
        </is>
      </c>
      <c r="F44" s="2" t="inlineStr">
        <is>
          <t>WP</t>
        </is>
      </c>
      <c r="G44" s="2" t="inlineStr"/>
      <c r="H44" s="2" t="inlineStr">
        <is>
          <t>TC &amp; implementability</t>
        </is>
      </c>
      <c r="I44" s="3" t="inlineStr">
        <is>
          <t>No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</t>
        </is>
      </c>
      <c r="V44" s="2" t="inlineStr">
        <is>
          <t>—</t>
        </is>
      </c>
      <c r="W44" s="2" t="inlineStr">
        <is>
          <t>—</t>
        </is>
      </c>
      <c r="X44" s="2" t="inlineStr">
        <is>
          <t>About 200 published anomalies: median return 48 bp/month through 2005 falls to 19 bp post-2005 and to about 7 bp after liquidity/microcap restrictions; modest cost allowances eliminate it.</t>
        </is>
      </c>
      <c r="Y44" s="2" t="inlineStr">
        <is>
          <t>—</t>
        </is>
      </c>
      <c r="Z44" s="2" t="inlineStr">
        <is>
          <t>—</t>
        </is>
      </c>
      <c r="AA44" s="2" t="inlineStr">
        <is>
          <t>—</t>
        </is>
      </c>
      <c r="AB44" s="2" t="inlineStr">
        <is>
          <t>—</t>
        </is>
      </c>
      <c r="AC44" s="2" t="inlineStr">
        <is>
          <t>—</t>
        </is>
      </c>
      <c r="AD44" s="3" t="n">
        <v>4</v>
      </c>
      <c r="AE44" s="2" t="inlineStr">
        <is>
          <t>Sets a sobering prior: net signal-level alpha is near zero recently.</t>
        </is>
      </c>
      <c r="AF44" s="2" t="inlineStr">
        <is>
          <t>Working paper (journal DOI not available/verified)</t>
        </is>
      </c>
    </row>
    <row r="45">
      <c r="A45" s="2" t="inlineStr">
        <is>
          <t>SPO2026</t>
        </is>
      </c>
      <c r="B45" s="2" t="inlineStr">
        <is>
          <t>Decision-Induced Ranking Explains Prediction Inflation and Excessive Turnover in SPO-Based Portfolio Optimization</t>
        </is>
      </c>
      <c r="C45" s="2" t="inlineStr">
        <is>
          <t>Wang, Y.; Hasuike, T.</t>
        </is>
      </c>
      <c r="D45" s="3" t="n">
        <v>2026</v>
      </c>
      <c r="E45" s="2" t="inlineStr">
        <is>
          <t>Working paper (arXiv 2605.01176)</t>
        </is>
      </c>
      <c r="F45" s="2" t="inlineStr">
        <is>
          <t>WP</t>
        </is>
      </c>
      <c r="G45" s="2" t="inlineStr"/>
      <c r="H45" s="2" t="inlineStr">
        <is>
          <t>End-to-end / decision-focused</t>
        </is>
      </c>
      <c r="I45" s="3" t="inlineStr">
        <is>
          <t>No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</t>
        </is>
      </c>
      <c r="V45" s="2" t="inlineStr">
        <is>
          <t>—</t>
        </is>
      </c>
      <c r="W45" s="2" t="inlineStr">
        <is>
          <t>—</t>
        </is>
      </c>
      <c r="X45" s="2" t="inlineStr">
        <is>
          <t>Shows decision-focused (SPO) portfolio learning inflates return signals and churns the book; proposes clipping, min-max rescaling and partial portfolio adjustment.</t>
        </is>
      </c>
      <c r="Y45" s="2" t="inlineStr">
        <is>
          <t>—</t>
        </is>
      </c>
      <c r="Z45" s="2" t="inlineStr">
        <is>
          <t>—</t>
        </is>
      </c>
      <c r="AA45" s="2" t="inlineStr">
        <is>
          <t>—</t>
        </is>
      </c>
      <c r="AB45" s="2" t="inlineStr">
        <is>
          <t>—</t>
        </is>
      </c>
      <c r="AC45" s="2" t="inlineStr">
        <is>
          <t>—</t>
        </is>
      </c>
      <c r="AD45" s="3" t="n">
        <v>4</v>
      </c>
      <c r="AE45" s="2" t="inlineStr">
        <is>
          <t>Our economic-objective cells adopt these controls and report inflation as a diagnostic.</t>
        </is>
      </c>
      <c r="AF45" s="2" t="inlineStr">
        <is>
          <t>Working paper (journal DOI not available/verified)</t>
        </is>
      </c>
    </row>
    <row r="46">
      <c r="A46" s="2" t="inlineStr">
        <is>
          <t>VSC2026</t>
        </is>
      </c>
      <c r="B46" s="2" t="inlineStr">
        <is>
          <t>The Virtue of Sparsity in Complexity</t>
        </is>
      </c>
      <c r="C46" s="2" t="inlineStr">
        <is>
          <t>Afsharhajari, N.; Li, J.Y.-M.</t>
        </is>
      </c>
      <c r="D46" s="3" t="n">
        <v>2026</v>
      </c>
      <c r="E46" s="2" t="inlineStr">
        <is>
          <t>Working paper (arXiv 2604.17166)</t>
        </is>
      </c>
      <c r="F46" s="2" t="inlineStr">
        <is>
          <t>WP</t>
        </is>
      </c>
      <c r="G46" s="2" t="inlineStr"/>
      <c r="H46" s="2" t="inlineStr">
        <is>
          <t>ML asset pricing</t>
        </is>
      </c>
      <c r="I46" s="3" t="inlineStr">
        <is>
          <t>No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—</t>
        </is>
      </c>
      <c r="V46" s="2" t="inlineStr">
        <is>
          <t>—</t>
        </is>
      </c>
      <c r="W46" s="2" t="inlineStr">
        <is>
          <t>—</t>
        </is>
      </c>
      <c r="X46" s="2" t="inlineStr">
        <is>
          <t>Distinguishes capacity sparsity from factor sparsity; with nonlinear feature expansions, basis-pursuit sparse selection keeps improving in the high-complexity regime while the dense ridgeless benchmark plateaus.</t>
        </is>
      </c>
      <c r="Y46" s="2" t="inlineStr">
        <is>
          <t>—</t>
        </is>
      </c>
      <c r="Z46" s="2" t="inlineStr">
        <is>
          <t>—</t>
        </is>
      </c>
      <c r="AA46" s="2" t="inlineStr">
        <is>
          <t>—</t>
        </is>
      </c>
      <c r="AB46" s="2" t="inlineStr">
        <is>
          <t>—</t>
        </is>
      </c>
      <c r="AC46" s="2" t="inlineStr">
        <is>
          <t>—</t>
        </is>
      </c>
      <c r="AD46" s="3" t="n">
        <v>4</v>
      </c>
      <c r="AE46" s="2" t="inlineStr">
        <is>
          <t>Motivates the dense/sparse arms of our complexity ladder (levels A2/A3).</t>
        </is>
      </c>
      <c r="AF46" s="2" t="inlineStr">
        <is>
          <t>Working paper (journal DOI not available/verified)</t>
        </is>
      </c>
    </row>
    <row r="47">
      <c r="A47" s="2" t="inlineStr">
        <is>
          <t>BLLP2025</t>
        </is>
      </c>
      <c r="B47" s="2" t="inlineStr">
        <is>
          <t>Missing Financial Data</t>
        </is>
      </c>
      <c r="C47" s="2" t="inlineStr">
        <is>
          <t>Bryzgalova, S.; Lerner, S.; Lettau, M.; Pelger, M.</t>
        </is>
      </c>
      <c r="D47" s="3" t="n">
        <v>2025</v>
      </c>
      <c r="E47" s="2" t="inlineStr">
        <is>
          <t>Review of Financial Studies 38(3):803-882</t>
        </is>
      </c>
      <c r="F47" s="2" t="inlineStr">
        <is>
          <t>T1 General Finance</t>
        </is>
      </c>
      <c r="G47" s="4" t="inlineStr">
        <is>
          <t>https://doi.org/10.1093/rfs/hhae036</t>
        </is>
      </c>
      <c r="H47" s="2" t="inlineStr">
        <is>
          <t>Data &amp; measurement</t>
        </is>
      </c>
      <c r="I47" s="3" t="inlineStr">
        <is>
          <t>No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—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Characteristics are frequently missing, not at random; proposes cross-sectional and time-series imputation. [verify pages]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3" t="n">
        <v>4</v>
      </c>
      <c r="AE47" s="2" t="inlineStr">
        <is>
          <t>Missing-data handling protocol.</t>
        </is>
      </c>
      <c r="AF47" s="2" t="inlineStr">
        <is>
          <t>Crossref match (title, author, year, journal)</t>
        </is>
      </c>
    </row>
    <row r="48">
      <c r="A48" s="2" t="inlineStr">
        <is>
          <t>FHNW2025</t>
        </is>
      </c>
      <c r="B48" s="2" t="inlineStr">
        <is>
          <t>Missing Data in Asset Pricing Panels</t>
        </is>
      </c>
      <c r="C48" s="2" t="inlineStr">
        <is>
          <t>Freyberger, J.; Hoppner, B.; Neuhierl, A.; Weber, M.</t>
        </is>
      </c>
      <c r="D48" s="3" t="n">
        <v>2025</v>
      </c>
      <c r="E48" s="2" t="inlineStr">
        <is>
          <t>Review of Financial Studies 38(3):760-802</t>
        </is>
      </c>
      <c r="F48" s="2" t="inlineStr">
        <is>
          <t>T1 General Finance</t>
        </is>
      </c>
      <c r="G48" s="4" t="inlineStr">
        <is>
          <t>https://doi.org/10.1093/rfs/hhae003</t>
        </is>
      </c>
      <c r="H48" s="2" t="inlineStr">
        <is>
          <t>Data &amp; measurement</t>
        </is>
      </c>
      <c r="I48" s="3" t="inlineStr">
        <is>
          <t>No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—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Generalised method of moments approach to missing characteristics; imputation choices affect results. [verify pages]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3" t="n">
        <v>4</v>
      </c>
      <c r="AE48" s="2" t="inlineStr">
        <is>
          <t>Missing-data handling protocol.</t>
        </is>
      </c>
      <c r="AF48" s="2" t="inlineStr">
        <is>
          <t>Crossref match (title, author, year, journal)</t>
        </is>
      </c>
    </row>
    <row r="49">
      <c r="A49" s="2" t="inlineStr">
        <is>
          <t>AGK2024</t>
        </is>
      </c>
      <c r="B49" s="2" t="inlineStr">
        <is>
          <t>Efficient Estimation of Bid-Ask Spreads from Open, High, Low, and Close Prices</t>
        </is>
      </c>
      <c r="C49" s="2" t="inlineStr">
        <is>
          <t>Ardia, D.; Guidotti, E.; Kroencke, T.A.</t>
        </is>
      </c>
      <c r="D49" s="3" t="n">
        <v>2024</v>
      </c>
      <c r="E49" s="2" t="inlineStr">
        <is>
          <t>Journal of Financial Economics 161:103916</t>
        </is>
      </c>
      <c r="F49" s="2" t="inlineStr">
        <is>
          <t>T1 General Finance</t>
        </is>
      </c>
      <c r="G49" s="4" t="inlineStr">
        <is>
          <t>https://doi.org/10.1016/j.jfineco.2024.103916</t>
        </is>
      </c>
      <c r="H49" s="2" t="inlineStr">
        <is>
          <t>TC &amp; implementability</t>
        </is>
      </c>
      <c r="I49" s="3" t="inlineStr">
        <is>
          <t>No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—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EDGE estimator from OHLC prices; R package 'bidask'.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3" t="n">
        <v>4</v>
      </c>
      <c r="AE49" s="2" t="inlineStr">
        <is>
          <t>Preferred low-frequency spread estimator where TAQ unavailable. [verify volume]</t>
        </is>
      </c>
      <c r="AF49" s="2" t="inlineStr">
        <is>
          <t>Crossref match (title, author, year, journal)</t>
        </is>
      </c>
    </row>
    <row r="50">
      <c r="A50" s="2" t="inlineStr">
        <is>
          <t>CPPS2024</t>
        </is>
      </c>
      <c r="B50" s="2" t="inlineStr">
        <is>
          <t>Conformal Predictive Portfolio Selection</t>
        </is>
      </c>
      <c r="C50" s="2" t="inlineStr">
        <is>
          <t>Kato, M.</t>
        </is>
      </c>
      <c r="D50" s="3" t="n">
        <v>2024</v>
      </c>
      <c r="E50" s="2" t="inlineStr">
        <is>
          <t>Working paper (arXiv 2410.16333, revised 2025)</t>
        </is>
      </c>
      <c r="F50" s="2" t="inlineStr">
        <is>
          <t>WP</t>
        </is>
      </c>
      <c r="G50" s="2" t="inlineStr"/>
      <c r="H50" s="2" t="inlineStr">
        <is>
          <t>Portfolio construction</t>
        </is>
      </c>
      <c r="I50" s="3" t="inlineStr">
        <is>
          <t>No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—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Combines conformal prediction intervals with portfolio selection across AR, random-forest and neural-network forecasters.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3" t="n">
        <v>4</v>
      </c>
      <c r="AE50" s="2" t="inlineStr">
        <is>
          <t>Basis for uncertainty level D2 (calibrated intervals) instead of raw ensemble dispersion.</t>
        </is>
      </c>
      <c r="AF50" s="2" t="inlineStr">
        <is>
          <t>Working paper (journal DOI not available/verified)</t>
        </is>
      </c>
    </row>
    <row r="51">
      <c r="A51" s="2" t="inlineStr">
        <is>
          <t>MENK2024</t>
        </is>
      </c>
      <c r="B51" s="2" t="inlineStr">
        <is>
          <t>Nonstandard Errors</t>
        </is>
      </c>
      <c r="C51" s="2" t="inlineStr">
        <is>
          <t>Menkveld, A.J.; et al.</t>
        </is>
      </c>
      <c r="D51" s="3" t="n">
        <v>2024</v>
      </c>
      <c r="E51" s="2" t="inlineStr">
        <is>
          <t>Journal of Finance 79(3):2339-2390</t>
        </is>
      </c>
      <c r="F51" s="2" t="inlineStr">
        <is>
          <t>T1 General Finance</t>
        </is>
      </c>
      <c r="G51" s="2" t="inlineStr"/>
      <c r="H51" s="2" t="inlineStr">
        <is>
          <t>Replication &amp; multiple testing</t>
        </is>
      </c>
      <c r="I51" s="3" t="inlineStr">
        <is>
          <t>No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—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164 teams testing the same hypotheses on the same data produce dispersion (non-standard errors) comparable to standard errors.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3" t="n">
        <v>4</v>
      </c>
      <c r="AE51" s="2" t="inlineStr">
        <is>
          <t>Justifies multiverse reporting.</t>
        </is>
      </c>
      <c r="AF51" s="2" t="inlineStr">
        <is>
          <t>No DOI verified</t>
        </is>
      </c>
    </row>
    <row r="52">
      <c r="A52" s="2" t="inlineStr">
        <is>
          <t>BK2023</t>
        </is>
      </c>
      <c r="B52" s="2" t="inlineStr">
        <is>
          <t>Integrating Prediction in Mean-Variance Portfolio Optimization</t>
        </is>
      </c>
      <c r="C52" s="2" t="inlineStr">
        <is>
          <t>Butler, A.; Kwon, R.H.</t>
        </is>
      </c>
      <c r="D52" s="3" t="n">
        <v>2023</v>
      </c>
      <c r="E52" s="2" t="inlineStr">
        <is>
          <t>Quantitative Finance 23(3):429-452</t>
        </is>
      </c>
      <c r="F52" s="2" t="inlineStr">
        <is>
          <t>T2 Quant/Field</t>
        </is>
      </c>
      <c r="G52" s="4" t="inlineStr">
        <is>
          <t>https://doi.org/10.1080/14697688.2022.2162432</t>
        </is>
      </c>
      <c r="H52" s="2" t="inlineStr">
        <is>
          <t>End-to-end / decision-focused</t>
        </is>
      </c>
      <c r="I52" s="3" t="inlineStr">
        <is>
          <t>No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—</t>
        </is>
      </c>
      <c r="V52" s="2" t="inlineStr">
        <is>
          <t>—</t>
        </is>
      </c>
      <c r="W52" s="2" t="inlineStr">
        <is>
          <t>—</t>
        </is>
      </c>
      <c r="X52" s="2" t="inlineStr">
        <is>
          <t>Integrated prediction-optimisation (IPO) with closed forms for unconstrained MVO and differentiable QP layers otherwise; lower realised cost than predict-then-optimize.</t>
        </is>
      </c>
      <c r="Y52" s="2" t="inlineStr">
        <is>
          <t>—</t>
        </is>
      </c>
      <c r="Z52" s="2" t="inlineStr">
        <is>
          <t>—</t>
        </is>
      </c>
      <c r="AA52" s="2" t="inlineStr">
        <is>
          <t>—</t>
        </is>
      </c>
      <c r="AB52" s="2" t="inlineStr">
        <is>
          <t>—</t>
        </is>
      </c>
      <c r="AC52" s="2" t="inlineStr">
        <is>
          <t>—</t>
        </is>
      </c>
      <c r="AD52" s="3" t="n">
        <v>4</v>
      </c>
      <c r="AE52" s="2" t="inlineStr">
        <is>
          <t>Decision-focused MVO benchmark.</t>
        </is>
      </c>
      <c r="AF52" s="2" t="inlineStr">
        <is>
          <t>DOI from publisher page/search; Crossref-confirmed</t>
        </is>
      </c>
    </row>
    <row r="53">
      <c r="A53" s="2" t="inlineStr">
        <is>
          <t>KX2023</t>
        </is>
      </c>
      <c r="B53" s="2" t="inlineStr">
        <is>
          <t>Financial Machine Learning</t>
        </is>
      </c>
      <c r="C53" s="2" t="inlineStr">
        <is>
          <t>Kelly, B.; Xiu, D.</t>
        </is>
      </c>
      <c r="D53" s="3" t="n">
        <v>2023</v>
      </c>
      <c r="E53" s="2" t="inlineStr">
        <is>
          <t>Foundations and Trends in Finance 13(3-4):205-363</t>
        </is>
      </c>
      <c r="F53" s="2" t="inlineStr">
        <is>
          <t>Survey</t>
        </is>
      </c>
      <c r="G53" s="4" t="inlineStr">
        <is>
          <t>https://doi.org/10.1561/500000064</t>
        </is>
      </c>
      <c r="H53" s="2" t="inlineStr">
        <is>
          <t>ML asset pricing</t>
        </is>
      </c>
      <c r="I53" s="3" t="inlineStr">
        <is>
          <t>No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</t>
        </is>
      </c>
      <c r="O53" s="2" t="inlineStr">
        <is>
          <t>—</t>
        </is>
      </c>
      <c r="P53" s="2" t="inlineStr">
        <is>
          <t>—</t>
        </is>
      </c>
      <c r="Q53" s="2" t="inlineStr">
        <is>
          <t>—</t>
        </is>
      </c>
      <c r="R53" s="2" t="inlineStr">
        <is>
          <t>—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—</t>
        </is>
      </c>
      <c r="V53" s="2" t="inlineStr">
        <is>
          <t>—</t>
        </is>
      </c>
      <c r="W53" s="2" t="inlineStr">
        <is>
          <t>—</t>
        </is>
      </c>
      <c r="X53" s="2" t="inlineStr">
        <is>
          <t>Survey of ML in financial markets for economists and machine learners.</t>
        </is>
      </c>
      <c r="Y53" s="2" t="inlineStr">
        <is>
          <t>—</t>
        </is>
      </c>
      <c r="Z53" s="2" t="inlineStr">
        <is>
          <t>—</t>
        </is>
      </c>
      <c r="AA53" s="2" t="inlineStr">
        <is>
          <t>—</t>
        </is>
      </c>
      <c r="AB53" s="2" t="inlineStr">
        <is>
          <t>—</t>
        </is>
      </c>
      <c r="AC53" s="2" t="inlineStr">
        <is>
          <t>—</t>
        </is>
      </c>
      <c r="AD53" s="3" t="n">
        <v>4</v>
      </c>
      <c r="AE53" s="2" t="inlineStr">
        <is>
          <t>Background survey.</t>
        </is>
      </c>
      <c r="AF53" s="2" t="inlineStr">
        <is>
          <t>Crossref match (title, author, year, journal)</t>
        </is>
      </c>
    </row>
    <row r="54">
      <c r="A54" s="2" t="inlineStr">
        <is>
          <t>EG2022</t>
        </is>
      </c>
      <c r="B54" s="2" t="inlineStr">
        <is>
          <t>Smart 'Predict, then Optimize'</t>
        </is>
      </c>
      <c r="C54" s="2" t="inlineStr">
        <is>
          <t>Elmachtoub, A.N.; Grigas, P.</t>
        </is>
      </c>
      <c r="D54" s="3" t="n">
        <v>2022</v>
      </c>
      <c r="E54" s="2" t="inlineStr">
        <is>
          <t>Management Science 68(1):9-26</t>
        </is>
      </c>
      <c r="F54" s="2" t="inlineStr">
        <is>
          <t>T1b Finance/OR</t>
        </is>
      </c>
      <c r="G54" s="4" t="inlineStr">
        <is>
          <t>https://doi.org/10.1287/mnsc.2020.3922</t>
        </is>
      </c>
      <c r="H54" s="2" t="inlineStr">
        <is>
          <t>End-to-end / decision-focused</t>
        </is>
      </c>
      <c r="I54" s="3" t="inlineStr">
        <is>
          <t>No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inlineStr">
        <is>
          <t>—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—</t>
        </is>
      </c>
      <c r="V54" s="2" t="inlineStr">
        <is>
          <t>—</t>
        </is>
      </c>
      <c r="W54" s="2" t="inlineStr">
        <is>
          <t>—</t>
        </is>
      </c>
      <c r="X54" s="2" t="inlineStr">
        <is>
          <t>SPO+ loss trains predictors on decision regret rather than prediction error.</t>
        </is>
      </c>
      <c r="Y54" s="2" t="inlineStr">
        <is>
          <t>—</t>
        </is>
      </c>
      <c r="Z54" s="2" t="inlineStr">
        <is>
          <t>—</t>
        </is>
      </c>
      <c r="AA54" s="2" t="inlineStr">
        <is>
          <t>—</t>
        </is>
      </c>
      <c r="AB54" s="2" t="inlineStr">
        <is>
          <t>—</t>
        </is>
      </c>
      <c r="AC54" s="2" t="inlineStr">
        <is>
          <t>—</t>
        </is>
      </c>
      <c r="AD54" s="3" t="n">
        <v>4</v>
      </c>
      <c r="AE54" s="2" t="inlineStr">
        <is>
          <t>Decision-focused loss foundation.</t>
        </is>
      </c>
      <c r="AF54" s="2" t="inlineStr">
        <is>
          <t>Crossref match (title, author, year, journal)</t>
        </is>
      </c>
    </row>
    <row r="55">
      <c r="A55" s="2" t="inlineStr">
        <is>
          <t>CTWZ2021</t>
        </is>
      </c>
      <c r="B55" s="2" t="inlineStr">
        <is>
          <t>AlphaPortfolio: Direct Construction through Deep Reinforcement Learning and Interpretable AI</t>
        </is>
      </c>
      <c r="C55" s="2" t="inlineStr">
        <is>
          <t>Cong, L.W.; Tang, K.; Wang, J.; Zhang, Y.</t>
        </is>
      </c>
      <c r="D55" s="3" t="n">
        <v>2021</v>
      </c>
      <c r="E55" s="2" t="inlineStr">
        <is>
          <t>Working paper (SSRN 3554486; NBER w35195)</t>
        </is>
      </c>
      <c r="F55" s="2" t="inlineStr">
        <is>
          <t>WP</t>
        </is>
      </c>
      <c r="G55" s="2" t="inlineStr"/>
      <c r="H55" s="2" t="inlineStr">
        <is>
          <t>End-to-end / decision-focused</t>
        </is>
      </c>
      <c r="I55" s="3" t="inlineStr">
        <is>
          <t>No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—</t>
        </is>
      </c>
      <c r="V55" s="2" t="inlineStr">
        <is>
          <t>—</t>
        </is>
      </c>
      <c r="W55" s="2" t="inlineStr">
        <is>
          <t>—</t>
        </is>
      </c>
      <c r="X55" s="2" t="inlineStr">
        <is>
          <t>Transformer-based RL directly optimises investor objectives; out-of-sample Sharpe above 2 and 13%+ alpha with monthly rebalancing in US equities, robust to excluding small/illiquid stocks; 'economic distillation' for interpretation.</t>
        </is>
      </c>
      <c r="Y55" s="2" t="inlineStr">
        <is>
          <t>—</t>
        </is>
      </c>
      <c r="Z55" s="2" t="inlineStr">
        <is>
          <t>—</t>
        </is>
      </c>
      <c r="AA55" s="2" t="inlineStr">
        <is>
          <t>—</t>
        </is>
      </c>
      <c r="AB55" s="2" t="inlineStr">
        <is>
          <t>—</t>
        </is>
      </c>
      <c r="AC55" s="2" t="inlineStr">
        <is>
          <t>—</t>
        </is>
      </c>
      <c r="AD55" s="3" t="n">
        <v>4</v>
      </c>
      <c r="AE55" s="2" t="inlineStr">
        <is>
          <t>Direct-construction benchmark; implementability claims need independent replication [inference].</t>
        </is>
      </c>
      <c r="AF55" s="2" t="inlineStr">
        <is>
          <t>Working paper (journal DOI not available/verified)</t>
        </is>
      </c>
    </row>
    <row r="56">
      <c r="A56" s="2" t="inlineStr">
        <is>
          <t>FNW2020</t>
        </is>
      </c>
      <c r="B56" s="2" t="inlineStr">
        <is>
          <t>Dissecting Characteristics Nonparametrically</t>
        </is>
      </c>
      <c r="C56" s="2" t="inlineStr">
        <is>
          <t>Freyberger, J.; Neuhierl, A.; Weber, M.</t>
        </is>
      </c>
      <c r="D56" s="3" t="n">
        <v>2020</v>
      </c>
      <c r="E56" s="2" t="inlineStr">
        <is>
          <t>Review of Financial Studies 33(5):2326-2377</t>
        </is>
      </c>
      <c r="F56" s="2" t="inlineStr">
        <is>
          <t>T1 General Finance</t>
        </is>
      </c>
      <c r="G56" s="4" t="inlineStr">
        <is>
          <t>https://doi.org/10.1093/rfs/hhz123</t>
        </is>
      </c>
      <c r="H56" s="2" t="inlineStr">
        <is>
          <t>ML asset pricing</t>
        </is>
      </c>
      <c r="I56" s="3" t="inlineStr">
        <is>
          <t>No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" t="inlineStr">
        <is>
          <t>—</t>
        </is>
      </c>
      <c r="R56" s="2" t="inlineStr">
        <is>
          <t>—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—</t>
        </is>
      </c>
      <c r="V56" s="2" t="inlineStr">
        <is>
          <t>—</t>
        </is>
      </c>
      <c r="W56" s="2" t="inlineStr">
        <is>
          <t>—</t>
        </is>
      </c>
      <c r="X56" s="2" t="inlineStr">
        <is>
          <t>Adaptive group LASSO selects characteristics with incremental information and estimates nonlinear effects; many predictors add nothing incremental; nonlinearity matters.</t>
        </is>
      </c>
      <c r="Y56" s="2" t="inlineStr">
        <is>
          <t>—</t>
        </is>
      </c>
      <c r="Z56" s="2" t="inlineStr">
        <is>
          <t>—</t>
        </is>
      </c>
      <c r="AA56" s="2" t="inlineStr">
        <is>
          <t>—</t>
        </is>
      </c>
      <c r="AB56" s="2" t="inlineStr">
        <is>
          <t>—</t>
        </is>
      </c>
      <c r="AC56" s="2" t="inlineStr">
        <is>
          <t>—</t>
        </is>
      </c>
      <c r="AD56" s="3" t="n">
        <v>4</v>
      </c>
      <c r="AE56" s="2" t="inlineStr">
        <is>
          <t>Evidence on redundancy; nonparametric-selection benchmark.</t>
        </is>
      </c>
      <c r="AF56" s="2" t="inlineStr">
        <is>
          <t>DOI from publisher page/search; Crossref-confirmed</t>
        </is>
      </c>
    </row>
    <row r="57">
      <c r="A57" s="2" t="inlineStr">
        <is>
          <t>HXZ2020</t>
        </is>
      </c>
      <c r="B57" s="2" t="inlineStr">
        <is>
          <t>Replicating Anomalies</t>
        </is>
      </c>
      <c r="C57" s="2" t="inlineStr">
        <is>
          <t>Hou, K.; Xue, C.; Zhang, L.</t>
        </is>
      </c>
      <c r="D57" s="3" t="n">
        <v>2020</v>
      </c>
      <c r="E57" s="2" t="inlineStr">
        <is>
          <t>Review of Financial Studies 33(5):2019-2133</t>
        </is>
      </c>
      <c r="F57" s="2" t="inlineStr">
        <is>
          <t>T1 General Finance</t>
        </is>
      </c>
      <c r="G57" s="4" t="inlineStr">
        <is>
          <t>https://doi.org/10.1093/rfs/hhy131</t>
        </is>
      </c>
      <c r="H57" s="2" t="inlineStr">
        <is>
          <t>Replication &amp; multiple testing</t>
        </is>
      </c>
      <c r="I57" s="3" t="inlineStr">
        <is>
          <t>No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inlineStr">
        <is>
          <t>—</t>
        </is>
      </c>
      <c r="P57" s="2" t="inlineStr">
        <is>
          <t>—</t>
        </is>
      </c>
      <c r="Q57" s="2" t="inlineStr">
        <is>
          <t>—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—</t>
        </is>
      </c>
      <c r="V57" s="2" t="inlineStr">
        <is>
          <t>—</t>
        </is>
      </c>
      <c r="W57" s="2" t="inlineStr">
        <is>
          <t>—</t>
        </is>
      </c>
      <c r="X57" s="2" t="inlineStr">
        <is>
          <t>65% of 452 anomalies fail |t| &gt; 1.96 and 82% fail 2.78 with NYSE breakpoints and value weighting; replicated magnitudes are smaller.</t>
        </is>
      </c>
      <c r="Y57" s="2" t="inlineStr">
        <is>
          <t>—</t>
        </is>
      </c>
      <c r="Z57" s="2" t="inlineStr">
        <is>
          <t>—</t>
        </is>
      </c>
      <c r="AA57" s="2" t="inlineStr">
        <is>
          <t>—</t>
        </is>
      </c>
      <c r="AB57" s="2" t="inlineStr">
        <is>
          <t>—</t>
        </is>
      </c>
      <c r="AC57" s="2" t="inlineStr">
        <is>
          <t>—</t>
        </is>
      </c>
      <c r="AD57" s="3" t="n">
        <v>4</v>
      </c>
      <c r="AE57" s="2" t="inlineStr">
        <is>
          <t>Microcap and weighting discipline.</t>
        </is>
      </c>
      <c r="AF57" s="2" t="inlineStr">
        <is>
          <t>DOI from publisher page/search; Crossref-confirmed</t>
        </is>
      </c>
    </row>
    <row r="58">
      <c r="A58" s="2" t="inlineStr">
        <is>
          <t>KNS2020</t>
        </is>
      </c>
      <c r="B58" s="2" t="inlineStr">
        <is>
          <t>Shrinking the Cross-Section</t>
        </is>
      </c>
      <c r="C58" s="2" t="inlineStr">
        <is>
          <t>Kozak, S.; Nagel, S.; Santosh, S.</t>
        </is>
      </c>
      <c r="D58" s="3" t="n">
        <v>2020</v>
      </c>
      <c r="E58" s="2" t="inlineStr">
        <is>
          <t>Journal of Financial Economics 135(2):271-292</t>
        </is>
      </c>
      <c r="F58" s="2" t="inlineStr">
        <is>
          <t>T1 General Finance</t>
        </is>
      </c>
      <c r="G58" s="4" t="inlineStr">
        <is>
          <t>https://doi.org/10.1016/j.jfineco.2019.06.008</t>
        </is>
      </c>
      <c r="H58" s="2" t="inlineStr">
        <is>
          <t>ML asset pricing</t>
        </is>
      </c>
      <c r="I58" s="3" t="inlineStr">
        <is>
          <t>No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—</t>
        </is>
      </c>
      <c r="V58" s="2" t="inlineStr">
        <is>
          <t>—</t>
        </is>
      </c>
      <c r="W58" s="2" t="inlineStr">
        <is>
          <t>—</t>
        </is>
      </c>
      <c r="X58" s="2" t="inlineStr">
        <is>
          <t>Robust SDF from many predictors via an economically motivated prior that shrinks low-variance principal components.</t>
        </is>
      </c>
      <c r="Y58" s="2" t="inlineStr">
        <is>
          <t>—</t>
        </is>
      </c>
      <c r="Z58" s="2" t="inlineStr">
        <is>
          <t>—</t>
        </is>
      </c>
      <c r="AA58" s="2" t="inlineStr">
        <is>
          <t>—</t>
        </is>
      </c>
      <c r="AB58" s="2" t="inlineStr">
        <is>
          <t>—</t>
        </is>
      </c>
      <c r="AC58" s="2" t="inlineStr">
        <is>
          <t>—</t>
        </is>
      </c>
      <c r="AD58" s="3" t="n">
        <v>4</v>
      </c>
      <c r="AE58" s="2" t="inlineStr">
        <is>
          <t>Mean-variance signal-combination benchmark with shrinkage.</t>
        </is>
      </c>
      <c r="AF58" s="2" t="inlineStr">
        <is>
          <t>Crossref match (title, author, year, journal)</t>
        </is>
      </c>
    </row>
    <row r="59">
      <c r="A59" s="2" t="inlineStr">
        <is>
          <t>RJ2019</t>
        </is>
      </c>
      <c r="B59" s="2" t="inlineStr">
        <is>
          <t>Machine Learning for Stock Selection</t>
        </is>
      </c>
      <c r="C59" s="2" t="inlineStr">
        <is>
          <t>Rasekhschaffe, K.C.; Jones, R.C.</t>
        </is>
      </c>
      <c r="D59" s="3" t="n">
        <v>2019</v>
      </c>
      <c r="E59" s="2" t="inlineStr">
        <is>
          <t>Financial Analysts Journal 75(3):70-88</t>
        </is>
      </c>
      <c r="F59" s="2" t="inlineStr">
        <is>
          <t>T3 Practitioner</t>
        </is>
      </c>
      <c r="G59" s="4" t="inlineStr">
        <is>
          <t>https://doi.org/10.1080/0015198X.2019.1596678</t>
        </is>
      </c>
      <c r="H59" s="2" t="inlineStr">
        <is>
          <t>ML strategies &amp; implementability</t>
        </is>
      </c>
      <c r="I59" s="3" t="inlineStr">
        <is>
          <t>No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—</t>
        </is>
      </c>
      <c r="V59" s="2" t="inlineStr">
        <is>
          <t>—</t>
        </is>
      </c>
      <c r="W59" s="2" t="inlineStr">
        <is>
          <t>—</t>
        </is>
      </c>
      <c r="X59" s="2" t="inlineStr">
        <is>
          <t>Practitioner framework: forecast combination across algorithms and feature engineering to limit overfitting in cross-sectional stock selection.</t>
        </is>
      </c>
      <c r="Y59" s="2" t="inlineStr">
        <is>
          <t>—</t>
        </is>
      </c>
      <c r="Z59" s="2" t="inlineStr">
        <is>
          <t>—</t>
        </is>
      </c>
      <c r="AA59" s="2" t="inlineStr">
        <is>
          <t>—</t>
        </is>
      </c>
      <c r="AB59" s="2" t="inlineStr">
        <is>
          <t>—</t>
        </is>
      </c>
      <c r="AC59" s="2" t="inlineStr">
        <is>
          <t>—</t>
        </is>
      </c>
      <c r="AD59" s="3" t="n">
        <v>4</v>
      </c>
      <c r="AE59" s="2" t="inlineStr">
        <is>
          <t>Practitioner combination baseline.</t>
        </is>
      </c>
      <c r="AF59" s="2" t="inlineStr">
        <is>
          <t>DOI from publisher page/search; Crossref-confirmed</t>
        </is>
      </c>
    </row>
    <row r="60">
      <c r="A60" s="2" t="inlineStr">
        <is>
          <t>LDP2018</t>
        </is>
      </c>
      <c r="B60" s="2" t="inlineStr">
        <is>
          <t>Advances in Financial Machine Learning</t>
        </is>
      </c>
      <c r="C60" s="2" t="inlineStr">
        <is>
          <t>Lopez de Prado, M.</t>
        </is>
      </c>
      <c r="D60" s="3" t="n">
        <v>2018</v>
      </c>
      <c r="E60" s="2" t="inlineStr">
        <is>
          <t>Wiley (book)</t>
        </is>
      </c>
      <c r="F60" s="2" t="inlineStr">
        <is>
          <t>Book</t>
        </is>
      </c>
      <c r="G60" s="2" t="inlineStr"/>
      <c r="H60" s="2" t="inlineStr">
        <is>
          <t>Statistical inference</t>
        </is>
      </c>
      <c r="I60" s="3" t="inlineStr">
        <is>
          <t>No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—</t>
        </is>
      </c>
      <c r="V60" s="2" t="inlineStr">
        <is>
          <t>—</t>
        </is>
      </c>
      <c r="W60" s="2" t="inlineStr">
        <is>
          <t>—</t>
        </is>
      </c>
      <c r="X60" s="2" t="inlineStr">
        <is>
          <t>Purged k-fold cross-validation with embargo, meta-labelling, backtest overfitting.</t>
        </is>
      </c>
      <c r="Y60" s="2" t="inlineStr">
        <is>
          <t>—</t>
        </is>
      </c>
      <c r="Z60" s="2" t="inlineStr">
        <is>
          <t>—</t>
        </is>
      </c>
      <c r="AA60" s="2" t="inlineStr">
        <is>
          <t>—</t>
        </is>
      </c>
      <c r="AB60" s="2" t="inlineStr">
        <is>
          <t>—</t>
        </is>
      </c>
      <c r="AC60" s="2" t="inlineStr">
        <is>
          <t>—</t>
        </is>
      </c>
      <c r="AD60" s="3" t="n">
        <v>4</v>
      </c>
      <c r="AE60" s="2" t="inlineStr">
        <is>
          <t>Validation protocol for overlapping labels.</t>
        </is>
      </c>
      <c r="AF60" s="2" t="inlineStr">
        <is>
          <t>Book (no DOI recorded)</t>
        </is>
      </c>
    </row>
    <row r="61">
      <c r="A61" s="2" t="inlineStr">
        <is>
          <t>HAR2017</t>
        </is>
      </c>
      <c r="B61" s="2" t="inlineStr">
        <is>
          <t>Presidential Address: The Scientific Outlook in Financial Economics</t>
        </is>
      </c>
      <c r="C61" s="2" t="inlineStr">
        <is>
          <t>Harvey, C.R.</t>
        </is>
      </c>
      <c r="D61" s="3" t="n">
        <v>2017</v>
      </c>
      <c r="E61" s="2" t="inlineStr">
        <is>
          <t>Journal of Finance 72(4):1399-1440</t>
        </is>
      </c>
      <c r="F61" s="2" t="inlineStr">
        <is>
          <t>T1 General Finance</t>
        </is>
      </c>
      <c r="G61" s="4" t="inlineStr">
        <is>
          <t>https://doi.org/10.1111/jofi.12530</t>
        </is>
      </c>
      <c r="H61" s="2" t="inlineStr">
        <is>
          <t>Replication &amp; multiple testing</t>
        </is>
      </c>
      <c r="I61" s="3" t="inlineStr">
        <is>
          <t>No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—</t>
        </is>
      </c>
      <c r="Q61" s="2" t="inlineStr">
        <is>
          <t>—</t>
        </is>
      </c>
      <c r="R61" s="2" t="inlineStr">
        <is>
          <t>—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—</t>
        </is>
      </c>
      <c r="V61" s="2" t="inlineStr">
        <is>
          <t>—</t>
        </is>
      </c>
      <c r="W61" s="2" t="inlineStr">
        <is>
          <t>—</t>
        </is>
      </c>
      <c r="X61" s="2" t="inlineStr">
        <is>
          <t>Incentives produce p-hacking; recommends Bayesian-style minimum Bayes factors and higher standards.</t>
        </is>
      </c>
      <c r="Y61" s="2" t="inlineStr">
        <is>
          <t>—</t>
        </is>
      </c>
      <c r="Z61" s="2" t="inlineStr">
        <is>
          <t>—</t>
        </is>
      </c>
      <c r="AA61" s="2" t="inlineStr">
        <is>
          <t>—</t>
        </is>
      </c>
      <c r="AB61" s="2" t="inlineStr">
        <is>
          <t>—</t>
        </is>
      </c>
      <c r="AC61" s="2" t="inlineStr">
        <is>
          <t>—</t>
        </is>
      </c>
      <c r="AD61" s="3" t="n">
        <v>4</v>
      </c>
      <c r="AE61" s="2" t="inlineStr">
        <is>
          <t>Reviewer expectations on integrity.</t>
        </is>
      </c>
      <c r="AF61" s="2" t="inlineStr">
        <is>
          <t>Crossref match (title, author, year, journal)</t>
        </is>
      </c>
    </row>
    <row r="62">
      <c r="A62" s="2" t="inlineStr">
        <is>
          <t>LL2017</t>
        </is>
      </c>
      <c r="B62" s="2" t="inlineStr">
        <is>
          <t>A Unified Approach to Interpreting Model Predictions</t>
        </is>
      </c>
      <c r="C62" s="2" t="inlineStr">
        <is>
          <t>Lundberg, S.M.; Lee, S.-I.</t>
        </is>
      </c>
      <c r="D62" s="3" t="n">
        <v>2017</v>
      </c>
      <c r="E62" s="2" t="inlineStr">
        <is>
          <t>Advances in Neural Information Processing Systems 30</t>
        </is>
      </c>
      <c r="F62" s="2" t="inlineStr">
        <is>
          <t>ML venue</t>
        </is>
      </c>
      <c r="G62" s="2" t="inlineStr"/>
      <c r="H62" s="2" t="inlineStr">
        <is>
          <t>ML methods</t>
        </is>
      </c>
      <c r="I62" s="3" t="inlineStr">
        <is>
          <t>No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—</t>
        </is>
      </c>
      <c r="V62" s="2" t="inlineStr">
        <is>
          <t>—</t>
        </is>
      </c>
      <c r="W62" s="2" t="inlineStr">
        <is>
          <t>—</t>
        </is>
      </c>
      <c r="X62" s="2" t="inlineStr">
        <is>
          <t>SHAP values unify additive feature attribution methods.</t>
        </is>
      </c>
      <c r="Y62" s="2" t="inlineStr">
        <is>
          <t>—</t>
        </is>
      </c>
      <c r="Z62" s="2" t="inlineStr">
        <is>
          <t>—</t>
        </is>
      </c>
      <c r="AA62" s="2" t="inlineStr">
        <is>
          <t>—</t>
        </is>
      </c>
      <c r="AB62" s="2" t="inlineStr">
        <is>
          <t>—</t>
        </is>
      </c>
      <c r="AC62" s="2" t="inlineStr">
        <is>
          <t>—</t>
        </is>
      </c>
      <c r="AD62" s="3" t="n">
        <v>4</v>
      </c>
      <c r="AE62" s="2" t="inlineStr">
        <is>
          <t>Signal attribution.</t>
        </is>
      </c>
      <c r="AF62" s="2" t="inlineStr">
        <is>
          <t>Conference/ML venue (not in Crossref or not matched)</t>
        </is>
      </c>
    </row>
    <row r="63">
      <c r="A63" s="2" t="inlineStr">
        <is>
          <t>LPB2017</t>
        </is>
      </c>
      <c r="B63" s="2" t="inlineStr">
        <is>
          <t>Simple and Scalable Predictive Uncertainty Estimation Using Deep Ensembles</t>
        </is>
      </c>
      <c r="C63" s="2" t="inlineStr">
        <is>
          <t>Lakshminarayanan, B.; Pritzel, A.; Blundell, C.</t>
        </is>
      </c>
      <c r="D63" s="3" t="n">
        <v>2017</v>
      </c>
      <c r="E63" s="2" t="inlineStr">
        <is>
          <t>Advances in Neural Information Processing Systems 30</t>
        </is>
      </c>
      <c r="F63" s="2" t="inlineStr">
        <is>
          <t>ML venue</t>
        </is>
      </c>
      <c r="G63" s="2" t="inlineStr"/>
      <c r="H63" s="2" t="inlineStr">
        <is>
          <t>ML methods</t>
        </is>
      </c>
      <c r="I63" s="3" t="inlineStr">
        <is>
          <t>No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inlineStr">
        <is>
          <t>—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—</t>
        </is>
      </c>
      <c r="V63" s="2" t="inlineStr">
        <is>
          <t>—</t>
        </is>
      </c>
      <c r="W63" s="2" t="inlineStr">
        <is>
          <t>—</t>
        </is>
      </c>
      <c r="X63" s="2" t="inlineStr">
        <is>
          <t>Deep ensembles give calibrated predictive uncertainty.</t>
        </is>
      </c>
      <c r="Y63" s="2" t="inlineStr">
        <is>
          <t>—</t>
        </is>
      </c>
      <c r="Z63" s="2" t="inlineStr">
        <is>
          <t>—</t>
        </is>
      </c>
      <c r="AA63" s="2" t="inlineStr">
        <is>
          <t>—</t>
        </is>
      </c>
      <c r="AB63" s="2" t="inlineStr">
        <is>
          <t>—</t>
        </is>
      </c>
      <c r="AC63" s="2" t="inlineStr">
        <is>
          <t>—</t>
        </is>
      </c>
      <c r="AD63" s="3" t="n">
        <v>4</v>
      </c>
      <c r="AE63" s="2" t="inlineStr">
        <is>
          <t>Uncertainty estimator.</t>
        </is>
      </c>
      <c r="AF63" s="2" t="inlineStr">
        <is>
          <t>Conference/ML venue (not in Crossref or not matched)</t>
        </is>
      </c>
    </row>
    <row r="64">
      <c r="A64" s="2" t="inlineStr">
        <is>
          <t>LW2017</t>
        </is>
      </c>
      <c r="B64" s="2" t="inlineStr">
        <is>
          <t>Nonlinear Shrinkage of the Covariance Matrix for Portfolio Selection: Markowitz Meets Goldilocks</t>
        </is>
      </c>
      <c r="C64" s="2" t="inlineStr">
        <is>
          <t>Ledoit, O.; Wolf, M.</t>
        </is>
      </c>
      <c r="D64" s="3" t="n">
        <v>2017</v>
      </c>
      <c r="E64" s="2" t="inlineStr">
        <is>
          <t>Review of Financial Studies 30(12):4349-4388</t>
        </is>
      </c>
      <c r="F64" s="2" t="inlineStr">
        <is>
          <t>T1 General Finance</t>
        </is>
      </c>
      <c r="G64" s="4" t="inlineStr">
        <is>
          <t>https://doi.org/10.1093/rfs/hhx052</t>
        </is>
      </c>
      <c r="H64" s="2" t="inlineStr">
        <is>
          <t>Portfolio construction</t>
        </is>
      </c>
      <c r="I64" s="3" t="inlineStr">
        <is>
          <t>No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—</t>
        </is>
      </c>
      <c r="V64" s="2" t="inlineStr">
        <is>
          <t>—</t>
        </is>
      </c>
      <c r="W64" s="2" t="inlineStr">
        <is>
          <t>—</t>
        </is>
      </c>
      <c r="X64" s="2" t="inlineStr">
        <is>
          <t>Nonlinear shrinkage covariance estimator improves large-dimensional portfolio selection.</t>
        </is>
      </c>
      <c r="Y64" s="2" t="inlineStr">
        <is>
          <t>—</t>
        </is>
      </c>
      <c r="Z64" s="2" t="inlineStr">
        <is>
          <t>—</t>
        </is>
      </c>
      <c r="AA64" s="2" t="inlineStr">
        <is>
          <t>—</t>
        </is>
      </c>
      <c r="AB64" s="2" t="inlineStr">
        <is>
          <t>—</t>
        </is>
      </c>
      <c r="AC64" s="2" t="inlineStr">
        <is>
          <t>—</t>
        </is>
      </c>
      <c r="AD64" s="3" t="n">
        <v>4</v>
      </c>
      <c r="AE64" s="2" t="inlineStr">
        <is>
          <t>Default covariance estimator.</t>
        </is>
      </c>
      <c r="AF64" s="2" t="inlineStr">
        <is>
          <t>DOI from publisher page/search; Crossref-confirmed</t>
        </is>
      </c>
    </row>
    <row r="65">
      <c r="A65" s="2" t="inlineStr">
        <is>
          <t>DM2016</t>
        </is>
      </c>
      <c r="B65" s="2" t="inlineStr">
        <is>
          <t>Momentum Crashes</t>
        </is>
      </c>
      <c r="C65" s="2" t="inlineStr">
        <is>
          <t>Daniel, K.; Moskowitz, T.J.</t>
        </is>
      </c>
      <c r="D65" s="3" t="n">
        <v>2016</v>
      </c>
      <c r="E65" s="2" t="inlineStr">
        <is>
          <t>Journal of Financial Economics 122(2):221-247</t>
        </is>
      </c>
      <c r="F65" s="2" t="inlineStr">
        <is>
          <t>T1 General Finance</t>
        </is>
      </c>
      <c r="G65" s="4" t="inlineStr">
        <is>
          <t>https://doi.org/10.1016/j.jfineco.2015.12.002</t>
        </is>
      </c>
      <c r="H65" s="2" t="inlineStr">
        <is>
          <t>Factor timing &amp; regimes</t>
        </is>
      </c>
      <c r="I65" s="3" t="inlineStr">
        <is>
          <t>No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—</t>
        </is>
      </c>
      <c r="V65" s="2" t="inlineStr">
        <is>
          <t>—</t>
        </is>
      </c>
      <c r="W65" s="2" t="inlineStr">
        <is>
          <t>—</t>
        </is>
      </c>
      <c r="X65" s="2" t="inlineStr">
        <is>
          <t>Momentum crashes in panic states after market declines when volatility is high; dynamic momentum doubles Sharpe.</t>
        </is>
      </c>
      <c r="Y65" s="2" t="inlineStr">
        <is>
          <t>—</t>
        </is>
      </c>
      <c r="Z65" s="2" t="inlineStr">
        <is>
          <t>—</t>
        </is>
      </c>
      <c r="AA65" s="2" t="inlineStr">
        <is>
          <t>—</t>
        </is>
      </c>
      <c r="AB65" s="2" t="inlineStr">
        <is>
          <t>—</t>
        </is>
      </c>
      <c r="AC65" s="2" t="inlineStr">
        <is>
          <t>—</t>
        </is>
      </c>
      <c r="AD65" s="3" t="n">
        <v>4</v>
      </c>
      <c r="AE65" s="2" t="inlineStr">
        <is>
          <t>Economic prior: state-dependent momentum weight.</t>
        </is>
      </c>
      <c r="AF65" s="2" t="inlineStr">
        <is>
          <t>Crossref match (title, author, year, journal)</t>
        </is>
      </c>
    </row>
    <row r="66">
      <c r="A66" s="2" t="inlineStr">
        <is>
          <t>HL2015</t>
        </is>
      </c>
      <c r="B66" s="2" t="inlineStr">
        <is>
          <t>Backtesting</t>
        </is>
      </c>
      <c r="C66" s="2" t="inlineStr">
        <is>
          <t>Harvey, C.R.; Liu, Y.</t>
        </is>
      </c>
      <c r="D66" s="3" t="n">
        <v>2015</v>
      </c>
      <c r="E66" s="2" t="inlineStr">
        <is>
          <t>Journal of Portfolio Management 42(1):13-28</t>
        </is>
      </c>
      <c r="F66" s="2" t="inlineStr">
        <is>
          <t>T3 Practitioner</t>
        </is>
      </c>
      <c r="G66" s="4" t="inlineStr">
        <is>
          <t>https://doi.org/10.3905/jpm.2015.42.1.013</t>
        </is>
      </c>
      <c r="H66" s="2" t="inlineStr">
        <is>
          <t>Statistical inference</t>
        </is>
      </c>
      <c r="I66" s="3" t="inlineStr">
        <is>
          <t>No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—</t>
        </is>
      </c>
      <c r="V66" s="2" t="inlineStr">
        <is>
          <t>—</t>
        </is>
      </c>
      <c r="W66" s="2" t="inlineStr">
        <is>
          <t>—</t>
        </is>
      </c>
      <c r="X66" s="2" t="inlineStr">
        <is>
          <t>Sharpe-ratio haircuts for multiple testing.</t>
        </is>
      </c>
      <c r="Y66" s="2" t="inlineStr">
        <is>
          <t>—</t>
        </is>
      </c>
      <c r="Z66" s="2" t="inlineStr">
        <is>
          <t>—</t>
        </is>
      </c>
      <c r="AA66" s="2" t="inlineStr">
        <is>
          <t>—</t>
        </is>
      </c>
      <c r="AB66" s="2" t="inlineStr">
        <is>
          <t>—</t>
        </is>
      </c>
      <c r="AC66" s="2" t="inlineStr">
        <is>
          <t>—</t>
        </is>
      </c>
      <c r="AD66" s="3" t="n">
        <v>4</v>
      </c>
      <c r="AE66" s="2" t="inlineStr">
        <is>
          <t>Haircut Sharpe reporting.</t>
        </is>
      </c>
      <c r="AF66" s="2" t="inlineStr">
        <is>
          <t>Crossref match (title, author, year, journal)</t>
        </is>
      </c>
    </row>
    <row r="67">
      <c r="A67" s="2" t="inlineStr">
        <is>
          <t>CSS2012</t>
        </is>
      </c>
      <c r="B67" s="2" t="inlineStr">
        <is>
          <t>Factor Alignment Problems and Quantitative Portfolio Management</t>
        </is>
      </c>
      <c r="C67" s="2" t="inlineStr">
        <is>
          <t>Ceria, S.; Saxena, A.; Stubbs, R.A.</t>
        </is>
      </c>
      <c r="D67" s="3" t="n">
        <v>2012</v>
      </c>
      <c r="E67" s="2" t="inlineStr">
        <is>
          <t>Journal of Portfolio Management 38(2):29-43</t>
        </is>
      </c>
      <c r="F67" s="2" t="inlineStr">
        <is>
          <t>T3 Practitioner</t>
        </is>
      </c>
      <c r="G67" s="4" t="inlineStr">
        <is>
          <t>https://doi.org/10.3905/jpm.2012.2012.1.021</t>
        </is>
      </c>
      <c r="H67" s="2" t="inlineStr">
        <is>
          <t>Portfolio construction</t>
        </is>
      </c>
      <c r="I67" s="3" t="inlineStr">
        <is>
          <t>No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inlineStr">
        <is>
          <t>—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—</t>
        </is>
      </c>
      <c r="V67" s="2" t="inlineStr">
        <is>
          <t>—</t>
        </is>
      </c>
      <c r="W67" s="2" t="inlineStr">
        <is>
          <t>—</t>
        </is>
      </c>
      <c r="X67" s="2" t="inlineStr">
        <is>
          <t>Misalignment between alpha model, risk model and constraints creates unintended exposures and risk underestimation.</t>
        </is>
      </c>
      <c r="Y67" s="2" t="inlineStr">
        <is>
          <t>—</t>
        </is>
      </c>
      <c r="Z67" s="2" t="inlineStr">
        <is>
          <t>—</t>
        </is>
      </c>
      <c r="AA67" s="2" t="inlineStr">
        <is>
          <t>—</t>
        </is>
      </c>
      <c r="AB67" s="2" t="inlineStr">
        <is>
          <t>—</t>
        </is>
      </c>
      <c r="AC67" s="2" t="inlineStr">
        <is>
          <t>—</t>
        </is>
      </c>
      <c r="AD67" s="3" t="n">
        <v>4</v>
      </c>
      <c r="AE67" s="2" t="inlineStr">
        <is>
          <t>Alignment diagnostics for ML alpha.</t>
        </is>
      </c>
      <c r="AF67" s="2" t="inlineStr">
        <is>
          <t>Crossref match (title, author, year, journal)</t>
        </is>
      </c>
    </row>
    <row r="68">
      <c r="A68" s="2" t="inlineStr">
        <is>
          <t>SYY2012</t>
        </is>
      </c>
      <c r="B68" s="2" t="inlineStr">
        <is>
          <t>The Short of It: Investor Sentiment and Anomalies</t>
        </is>
      </c>
      <c r="C68" s="2" t="inlineStr">
        <is>
          <t>Stambaugh, R.F.; Yu, J.; Yuan, Y.</t>
        </is>
      </c>
      <c r="D68" s="3" t="n">
        <v>2012</v>
      </c>
      <c r="E68" s="2" t="inlineStr">
        <is>
          <t>Journal of Financial Economics 104(2):288-302</t>
        </is>
      </c>
      <c r="F68" s="2" t="inlineStr">
        <is>
          <t>T1 General Finance</t>
        </is>
      </c>
      <c r="G68" s="4" t="inlineStr">
        <is>
          <t>https://doi.org/10.1016/j.jfineco.2011.12.001</t>
        </is>
      </c>
      <c r="H68" s="2" t="inlineStr">
        <is>
          <t>Factor timing &amp; regimes</t>
        </is>
      </c>
      <c r="I68" s="3" t="inlineStr">
        <is>
          <t>No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—</t>
        </is>
      </c>
      <c r="V68" s="2" t="inlineStr">
        <is>
          <t>—</t>
        </is>
      </c>
      <c r="W68" s="2" t="inlineStr">
        <is>
          <t>—</t>
        </is>
      </c>
      <c r="X68" s="2" t="inlineStr">
        <is>
          <t>Anomalies are stronger following high sentiment, mostly on the short leg.</t>
        </is>
      </c>
      <c r="Y68" s="2" t="inlineStr">
        <is>
          <t>—</t>
        </is>
      </c>
      <c r="Z68" s="2" t="inlineStr">
        <is>
          <t>—</t>
        </is>
      </c>
      <c r="AA68" s="2" t="inlineStr">
        <is>
          <t>—</t>
        </is>
      </c>
      <c r="AB68" s="2" t="inlineStr">
        <is>
          <t>—</t>
        </is>
      </c>
      <c r="AC68" s="2" t="inlineStr">
        <is>
          <t>—</t>
        </is>
      </c>
      <c r="AD68" s="3" t="n">
        <v>4</v>
      </c>
      <c r="AE68" s="2" t="inlineStr">
        <is>
          <t>Economic prior for state dependence.</t>
        </is>
      </c>
      <c r="AF68" s="2" t="inlineStr">
        <is>
          <t>Crossref match (title, author, year, journal)</t>
        </is>
      </c>
    </row>
    <row r="69">
      <c r="A69" s="2" t="inlineStr">
        <is>
          <t>HLN2011</t>
        </is>
      </c>
      <c r="B69" s="2" t="inlineStr">
        <is>
          <t>The Model Confidence Set</t>
        </is>
      </c>
      <c r="C69" s="2" t="inlineStr">
        <is>
          <t>Hansen, P.R.; Lunde, A.; Nason, J.M.</t>
        </is>
      </c>
      <c r="D69" s="3" t="n">
        <v>2011</v>
      </c>
      <c r="E69" s="2" t="inlineStr">
        <is>
          <t>Econometrica 79(2):453-497</t>
        </is>
      </c>
      <c r="F69" s="2" t="inlineStr">
        <is>
          <t>Econometrics general</t>
        </is>
      </c>
      <c r="G69" s="4" t="inlineStr">
        <is>
          <t>https://doi.org/10.3982/ecta5771</t>
        </is>
      </c>
      <c r="H69" s="2" t="inlineStr">
        <is>
          <t>Statistical inference</t>
        </is>
      </c>
      <c r="I69" s="3" t="inlineStr">
        <is>
          <t>No</t>
        </is>
      </c>
      <c r="J69" s="2" t="inlineStr">
        <is>
          <t>—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</t>
        </is>
      </c>
      <c r="O69" s="2" t="inlineStr">
        <is>
          <t>—</t>
        </is>
      </c>
      <c r="P69" s="2" t="inlineStr">
        <is>
          <t>—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—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Set of models containing the best with given confidence.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3" t="n">
        <v>4</v>
      </c>
      <c r="AE69" s="2" t="inlineStr">
        <is>
          <t>Report the MCS of design cells.</t>
        </is>
      </c>
      <c r="AF69" s="2" t="inlineStr">
        <is>
          <t>Crossref match (online/issue year differs)</t>
        </is>
      </c>
    </row>
    <row r="70">
      <c r="A70" s="2" t="inlineStr">
        <is>
          <t>DGU2009</t>
        </is>
      </c>
      <c r="B70" s="2" t="inlineStr">
        <is>
          <t>Optimal Versus Naive Diversification: How Inefficient Is the 1/N Portfolio Strategy?</t>
        </is>
      </c>
      <c r="C70" s="2" t="inlineStr">
        <is>
          <t>DeMiguel, V.; Garlappi, L.; Uppal, R.</t>
        </is>
      </c>
      <c r="D70" s="3" t="n">
        <v>2009</v>
      </c>
      <c r="E70" s="2" t="inlineStr">
        <is>
          <t>Review of Financial Studies 22(5):1915-1953</t>
        </is>
      </c>
      <c r="F70" s="2" t="inlineStr">
        <is>
          <t>T1 General Finance</t>
        </is>
      </c>
      <c r="G70" s="4" t="inlineStr">
        <is>
          <t>https://doi.org/10.1093/rfs/hhm075</t>
        </is>
      </c>
      <c r="H70" s="2" t="inlineStr">
        <is>
          <t>Portfolio construction</t>
        </is>
      </c>
      <c r="I70" s="3" t="inlineStr">
        <is>
          <t>No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</t>
        </is>
      </c>
      <c r="V70" s="2" t="inlineStr">
        <is>
          <t>—</t>
        </is>
      </c>
      <c r="W70" s="2" t="inlineStr">
        <is>
          <t>—</t>
        </is>
      </c>
      <c r="X70" s="2" t="inlineStr">
        <is>
          <t>None of 14 optimisation models consistently beats 1/N out of sample in Sharpe, CEQ or turnover.</t>
        </is>
      </c>
      <c r="Y70" s="2" t="inlineStr">
        <is>
          <t>—</t>
        </is>
      </c>
      <c r="Z70" s="2" t="inlineStr">
        <is>
          <t>—</t>
        </is>
      </c>
      <c r="AA70" s="2" t="inlineStr">
        <is>
          <t>—</t>
        </is>
      </c>
      <c r="AB70" s="2" t="inlineStr">
        <is>
          <t>—</t>
        </is>
      </c>
      <c r="AC70" s="2" t="inlineStr">
        <is>
          <t>—</t>
        </is>
      </c>
      <c r="AD70" s="3" t="n">
        <v>4</v>
      </c>
      <c r="AE70" s="2" t="inlineStr">
        <is>
          <t>Naive benchmark is mandatory.</t>
        </is>
      </c>
      <c r="AF70" s="2" t="inlineStr">
        <is>
          <t>DOI from publisher page/search</t>
        </is>
      </c>
    </row>
    <row r="71">
      <c r="A71" s="2" t="inlineStr">
        <is>
          <t>HAS2009</t>
        </is>
      </c>
      <c r="B71" s="2" t="inlineStr">
        <is>
          <t>Trading Costs and Returns for U.S. Equities: Estimating Effective Costs from Daily Data</t>
        </is>
      </c>
      <c r="C71" s="2" t="inlineStr">
        <is>
          <t>Hasbrouck, J.</t>
        </is>
      </c>
      <c r="D71" s="3" t="n">
        <v>2009</v>
      </c>
      <c r="E71" s="2" t="inlineStr">
        <is>
          <t>Journal of Finance 64(3):1445-1477</t>
        </is>
      </c>
      <c r="F71" s="2" t="inlineStr">
        <is>
          <t>T1 General Finance</t>
        </is>
      </c>
      <c r="G71" s="4" t="inlineStr">
        <is>
          <t>https://doi.org/10.1111/j.1540-6261.2009.01469.x</t>
        </is>
      </c>
      <c r="H71" s="2" t="inlineStr">
        <is>
          <t>TC &amp; implementability</t>
        </is>
      </c>
      <c r="I71" s="3" t="inlineStr">
        <is>
          <t>No</t>
        </is>
      </c>
      <c r="J71" s="2" t="inlineStr">
        <is>
          <t>—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</t>
        </is>
      </c>
      <c r="O71" s="2" t="inlineStr">
        <is>
          <t>—</t>
        </is>
      </c>
      <c r="P71" s="2" t="inlineStr">
        <is>
          <t>—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Gibbs-sampler estimate of effective costs from daily prices, validated against TAQ.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3" t="n">
        <v>4</v>
      </c>
      <c r="AE71" s="2" t="inlineStr">
        <is>
          <t>Historical spread estimator.</t>
        </is>
      </c>
      <c r="AF71" s="2" t="inlineStr">
        <is>
          <t>DOI from publisher page/search; Crossref-confirmed</t>
        </is>
      </c>
    </row>
    <row r="72">
      <c r="A72" s="2" t="inlineStr">
        <is>
          <t>CW2007</t>
        </is>
      </c>
      <c r="B72" s="2" t="inlineStr">
        <is>
          <t>Approximately Normal Tests for Equal Predictive Accuracy in Nested Models</t>
        </is>
      </c>
      <c r="C72" s="2" t="inlineStr">
        <is>
          <t>Clark, T.E.; West, K.D.</t>
        </is>
      </c>
      <c r="D72" s="3" t="n">
        <v>2007</v>
      </c>
      <c r="E72" s="2" t="inlineStr">
        <is>
          <t>Journal of Econometrics 138(1):291-311</t>
        </is>
      </c>
      <c r="F72" s="2" t="inlineStr">
        <is>
          <t>T2 Quant/Field</t>
        </is>
      </c>
      <c r="G72" s="4" t="inlineStr">
        <is>
          <t>https://doi.org/10.1016/j.jeconom.2006.05.023</t>
        </is>
      </c>
      <c r="H72" s="2" t="inlineStr">
        <is>
          <t>Statistical inference</t>
        </is>
      </c>
      <c r="I72" s="3" t="inlineStr">
        <is>
          <t>No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Adjusted MSPE test for nested models.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3" t="n">
        <v>4</v>
      </c>
      <c r="AE72" s="2" t="inlineStr">
        <is>
          <t>Nested model comparisons (static vs conditional).</t>
        </is>
      </c>
      <c r="AF72" s="2" t="inlineStr">
        <is>
          <t>Crossref match (title, author, year, journal)</t>
        </is>
      </c>
    </row>
    <row r="73">
      <c r="A73" s="2" t="inlineStr">
        <is>
          <t>RW2005</t>
        </is>
      </c>
      <c r="B73" s="2" t="inlineStr">
        <is>
          <t>Stepwise Multiple Testing as Formalized Data Snooping</t>
        </is>
      </c>
      <c r="C73" s="2" t="inlineStr">
        <is>
          <t>Romano, J.P.; Wolf, M.</t>
        </is>
      </c>
      <c r="D73" s="3" t="n">
        <v>2005</v>
      </c>
      <c r="E73" s="2" t="inlineStr">
        <is>
          <t>Econometrica 73(4):1237-1282</t>
        </is>
      </c>
      <c r="F73" s="2" t="inlineStr">
        <is>
          <t>Econometrics general</t>
        </is>
      </c>
      <c r="G73" s="4" t="inlineStr">
        <is>
          <t>https://doi.org/10.1111/j.1468-0262.2005.00615.x</t>
        </is>
      </c>
      <c r="H73" s="2" t="inlineStr">
        <is>
          <t>Statistical inference</t>
        </is>
      </c>
      <c r="I73" s="3" t="inlineStr">
        <is>
          <t>No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—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StepM identifies which models beat the benchmark with FWER control.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3" t="n">
        <v>4</v>
      </c>
      <c r="AE73" s="2" t="inlineStr">
        <is>
          <t>Which cells beat the benchmark.</t>
        </is>
      </c>
      <c r="AF73" s="2" t="inlineStr">
        <is>
          <t>Crossref match (title, author, year, journal)</t>
        </is>
      </c>
    </row>
    <row r="74">
      <c r="A74" s="2" t="inlineStr">
        <is>
          <t>CST2002</t>
        </is>
      </c>
      <c r="B74" s="2" t="inlineStr">
        <is>
          <t>Portfolio Constraints and the Fundamental Law of Active Management</t>
        </is>
      </c>
      <c r="C74" s="2" t="inlineStr">
        <is>
          <t>Clarke, R.; de Silva, H.; Thorley, S.</t>
        </is>
      </c>
      <c r="D74" s="3" t="n">
        <v>2002</v>
      </c>
      <c r="E74" s="2" t="inlineStr">
        <is>
          <t>Financial Analysts Journal 58(5):48-66</t>
        </is>
      </c>
      <c r="F74" s="2" t="inlineStr">
        <is>
          <t>T3 Practitioner</t>
        </is>
      </c>
      <c r="G74" s="4" t="inlineStr">
        <is>
          <t>https://doi.org/10.2469/faj.v58.n5.2468</t>
        </is>
      </c>
      <c r="H74" s="2" t="inlineStr">
        <is>
          <t>Portfolio construction</t>
        </is>
      </c>
      <c r="I74" s="3" t="inlineStr">
        <is>
          <t>No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Introduces the transfer coefficient: constraints limit how much forecast information reaches portfolio weights.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—</t>
        </is>
      </c>
      <c r="AB74" s="2" t="inlineStr">
        <is>
          <t>—</t>
        </is>
      </c>
      <c r="AC74" s="2" t="inlineStr">
        <is>
          <t>—</t>
        </is>
      </c>
      <c r="AD74" s="3" t="n">
        <v>4</v>
      </c>
      <c r="AE74" s="2" t="inlineStr">
        <is>
          <t>Transfer-coefficient reporting in our metrics.</t>
        </is>
      </c>
      <c r="AF74" s="2" t="inlineStr">
        <is>
          <t>Crossref match (title, author, year, journal)</t>
        </is>
      </c>
    </row>
    <row r="75">
      <c r="A75" s="2" t="inlineStr">
        <is>
          <t>LO2002</t>
        </is>
      </c>
      <c r="B75" s="2" t="inlineStr">
        <is>
          <t>The Statistics of Sharpe Ratios</t>
        </is>
      </c>
      <c r="C75" s="2" t="inlineStr">
        <is>
          <t>Lo, A.W.</t>
        </is>
      </c>
      <c r="D75" s="3" t="n">
        <v>2002</v>
      </c>
      <c r="E75" s="2" t="inlineStr">
        <is>
          <t>Financial Analysts Journal 58(4):36-52</t>
        </is>
      </c>
      <c r="F75" s="2" t="inlineStr">
        <is>
          <t>T3 Practitioner</t>
        </is>
      </c>
      <c r="G75" s="4" t="inlineStr">
        <is>
          <t>https://doi.org/10.2469/faj.v58.n4.2453</t>
        </is>
      </c>
      <c r="H75" s="2" t="inlineStr">
        <is>
          <t>Statistical inference</t>
        </is>
      </c>
      <c r="I75" s="3" t="inlineStr">
        <is>
          <t>No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—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Sampling distribution of Sharpe ratios under serial correlation; annualisation errors.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—</t>
        </is>
      </c>
      <c r="AB75" s="2" t="inlineStr">
        <is>
          <t>—</t>
        </is>
      </c>
      <c r="AC75" s="2" t="inlineStr">
        <is>
          <t>—</t>
        </is>
      </c>
      <c r="AD75" s="3" t="n">
        <v>4</v>
      </c>
      <c r="AE75" s="2" t="inlineStr">
        <is>
          <t>Sharpe inference.</t>
        </is>
      </c>
      <c r="AF75" s="2" t="inlineStr">
        <is>
          <t>Crossref match (title, author, year, journal)</t>
        </is>
      </c>
    </row>
    <row r="76">
      <c r="A76" s="2" t="inlineStr">
        <is>
          <t>GK2000</t>
        </is>
      </c>
      <c r="B76" s="2" t="inlineStr">
        <is>
          <t>Active Portfolio Management (2nd ed.)</t>
        </is>
      </c>
      <c r="C76" s="2" t="inlineStr">
        <is>
          <t>Grinold, R.C.; Kahn, R.N.</t>
        </is>
      </c>
      <c r="D76" s="3" t="n">
        <v>2000</v>
      </c>
      <c r="E76" s="2" t="inlineStr">
        <is>
          <t>McGraw-Hill (book)</t>
        </is>
      </c>
      <c r="F76" s="2" t="inlineStr">
        <is>
          <t>Book</t>
        </is>
      </c>
      <c r="G76" s="2" t="inlineStr"/>
      <c r="H76" s="2" t="inlineStr">
        <is>
          <t>Portfolio construction</t>
        </is>
      </c>
      <c r="I76" s="3" t="inlineStr">
        <is>
          <t>No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" t="inlineStr">
        <is>
          <t>—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</t>
        </is>
      </c>
      <c r="V76" s="2" t="inlineStr">
        <is>
          <t>—</t>
        </is>
      </c>
      <c r="W76" s="2" t="inlineStr">
        <is>
          <t>—</t>
        </is>
      </c>
      <c r="X76" s="2" t="inlineStr">
        <is>
          <t>Alpha forecasting, signal combination and portfolio construction for quantitative managers.</t>
        </is>
      </c>
      <c r="Y76" s="2" t="inlineStr">
        <is>
          <t>—</t>
        </is>
      </c>
      <c r="Z76" s="2" t="inlineStr">
        <is>
          <t>—</t>
        </is>
      </c>
      <c r="AA76" s="2" t="inlineStr">
        <is>
          <t>—</t>
        </is>
      </c>
      <c r="AB76" s="2" t="inlineStr">
        <is>
          <t>—</t>
        </is>
      </c>
      <c r="AC76" s="2" t="inlineStr">
        <is>
          <t>—</t>
        </is>
      </c>
      <c r="AD76" s="3" t="n">
        <v>4</v>
      </c>
      <c r="AE76" s="2" t="inlineStr">
        <is>
          <t>Practitioner combination canon.</t>
        </is>
      </c>
      <c r="AF76" s="2" t="inlineStr">
        <is>
          <t>Book (no DOI recorded)</t>
        </is>
      </c>
    </row>
    <row r="77">
      <c r="A77" s="2" t="inlineStr">
        <is>
          <t>SHU1997</t>
        </is>
      </c>
      <c r="B77" s="2" t="inlineStr">
        <is>
          <t>The Delisting Bias in CRSP Data</t>
        </is>
      </c>
      <c r="C77" s="2" t="inlineStr">
        <is>
          <t>Shumway, T.</t>
        </is>
      </c>
      <c r="D77" s="3" t="n">
        <v>1997</v>
      </c>
      <c r="E77" s="2" t="inlineStr">
        <is>
          <t>Journal of Finance 52(1):327-340</t>
        </is>
      </c>
      <c r="F77" s="2" t="inlineStr">
        <is>
          <t>T1 General Finance</t>
        </is>
      </c>
      <c r="G77" s="4" t="inlineStr">
        <is>
          <t>https://doi.org/10.1111/j.1540-6261.1997.tb03818.x</t>
        </is>
      </c>
      <c r="H77" s="2" t="inlineStr">
        <is>
          <t>Data &amp; measurement</t>
        </is>
      </c>
      <c r="I77" s="3" t="inlineStr">
        <is>
          <t>No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</t>
        </is>
      </c>
      <c r="O77" s="2" t="inlineStr">
        <is>
          <t>—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</t>
        </is>
      </c>
      <c r="V77" s="2" t="inlineStr">
        <is>
          <t>—</t>
        </is>
      </c>
      <c r="W77" s="2" t="inlineStr">
        <is>
          <t>—</t>
        </is>
      </c>
      <c r="X77" s="2" t="inlineStr">
        <is>
          <t>Missing performance-related delisting returns bias CRSP returns upward.</t>
        </is>
      </c>
      <c r="Y77" s="2" t="inlineStr">
        <is>
          <t>—</t>
        </is>
      </c>
      <c r="Z77" s="2" t="inlineStr">
        <is>
          <t>—</t>
        </is>
      </c>
      <c r="AA77" s="2" t="inlineStr">
        <is>
          <t>—</t>
        </is>
      </c>
      <c r="AB77" s="2" t="inlineStr">
        <is>
          <t>—</t>
        </is>
      </c>
      <c r="AC77" s="2" t="inlineStr">
        <is>
          <t>—</t>
        </is>
      </c>
      <c r="AD77" s="3" t="n">
        <v>4</v>
      </c>
      <c r="AE77" s="2" t="inlineStr">
        <is>
          <t>Delisting-return correction.</t>
        </is>
      </c>
      <c r="AF77" s="2" t="inlineStr">
        <is>
          <t>Crossref match (title, author, year, journal)</t>
        </is>
      </c>
    </row>
    <row r="78">
      <c r="A78" s="2" t="inlineStr">
        <is>
          <t>DM1995</t>
        </is>
      </c>
      <c r="B78" s="2" t="inlineStr">
        <is>
          <t>Comparing Predictive Accuracy</t>
        </is>
      </c>
      <c r="C78" s="2" t="inlineStr">
        <is>
          <t>Diebold, F.X.; Mariano, R.S.</t>
        </is>
      </c>
      <c r="D78" s="3" t="n">
        <v>1995</v>
      </c>
      <c r="E78" s="2" t="inlineStr">
        <is>
          <t>Journal of Business &amp; Economic Statistics 13(3):253-263</t>
        </is>
      </c>
      <c r="F78" s="2" t="inlineStr">
        <is>
          <t>T2 Quant/Field</t>
        </is>
      </c>
      <c r="G78" s="4" t="inlineStr">
        <is>
          <t>https://doi.org/10.1080/07350015.1995.10524599</t>
        </is>
      </c>
      <c r="H78" s="2" t="inlineStr">
        <is>
          <t>Statistical inference</t>
        </is>
      </c>
      <c r="I78" s="3" t="inlineStr">
        <is>
          <t>No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</t>
        </is>
      </c>
      <c r="V78" s="2" t="inlineStr">
        <is>
          <t>—</t>
        </is>
      </c>
      <c r="W78" s="2" t="inlineStr">
        <is>
          <t>—</t>
        </is>
      </c>
      <c r="X78" s="2" t="inlineStr">
        <is>
          <t>Test of equal predictive accuracy.</t>
        </is>
      </c>
      <c r="Y78" s="2" t="inlineStr">
        <is>
          <t>—</t>
        </is>
      </c>
      <c r="Z78" s="2" t="inlineStr">
        <is>
          <t>—</t>
        </is>
      </c>
      <c r="AA78" s="2" t="inlineStr">
        <is>
          <t>—</t>
        </is>
      </c>
      <c r="AB78" s="2" t="inlineStr">
        <is>
          <t>—</t>
        </is>
      </c>
      <c r="AC78" s="2" t="inlineStr">
        <is>
          <t>—</t>
        </is>
      </c>
      <c r="AD78" s="3" t="n">
        <v>4</v>
      </c>
      <c r="AE78" s="2" t="inlineStr">
        <is>
          <t>Forecast comparison.</t>
        </is>
      </c>
      <c r="AF78" s="2" t="inlineStr">
        <is>
          <t>Crossref match (title, author, year, journal)</t>
        </is>
      </c>
    </row>
    <row r="79">
      <c r="A79" s="2" t="inlineStr">
        <is>
          <t>PR1994</t>
        </is>
      </c>
      <c r="B79" s="2" t="inlineStr">
        <is>
          <t>The Stationary Bootstrap</t>
        </is>
      </c>
      <c r="C79" s="2" t="inlineStr">
        <is>
          <t>Politis, D.N.; Romano, J.P.</t>
        </is>
      </c>
      <c r="D79" s="3" t="n">
        <v>1994</v>
      </c>
      <c r="E79" s="2" t="inlineStr">
        <is>
          <t>Journal of the American Statistical Association 89(428):1303-1313</t>
        </is>
      </c>
      <c r="F79" s="2" t="inlineStr">
        <is>
          <t>Econometrics general</t>
        </is>
      </c>
      <c r="G79" s="4" t="inlineStr">
        <is>
          <t>https://doi.org/10.1080/01621459.1994.10476870</t>
        </is>
      </c>
      <c r="H79" s="2" t="inlineStr">
        <is>
          <t>Statistical inference</t>
        </is>
      </c>
      <c r="I79" s="3" t="inlineStr">
        <is>
          <t>No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</t>
        </is>
      </c>
      <c r="V79" s="2" t="inlineStr">
        <is>
          <t>—</t>
        </is>
      </c>
      <c r="W79" s="2" t="inlineStr">
        <is>
          <t>—</t>
        </is>
      </c>
      <c r="X79" s="2" t="inlineStr">
        <is>
          <t>Random-block bootstrap for stationary dependent data.</t>
        </is>
      </c>
      <c r="Y79" s="2" t="inlineStr">
        <is>
          <t>—</t>
        </is>
      </c>
      <c r="Z79" s="2" t="inlineStr">
        <is>
          <t>—</t>
        </is>
      </c>
      <c r="AA79" s="2" t="inlineStr">
        <is>
          <t>—</t>
        </is>
      </c>
      <c r="AB79" s="2" t="inlineStr">
        <is>
          <t>—</t>
        </is>
      </c>
      <c r="AC79" s="2" t="inlineStr">
        <is>
          <t>—</t>
        </is>
      </c>
      <c r="AD79" s="3" t="n">
        <v>4</v>
      </c>
      <c r="AE79" s="2" t="inlineStr">
        <is>
          <t>Bootstrap for SPA/RC.</t>
        </is>
      </c>
      <c r="AF79" s="2" t="inlineStr">
        <is>
          <t>Crossref match (title, author, year, journal)</t>
        </is>
      </c>
    </row>
    <row r="80">
      <c r="A80" s="2" t="inlineStr">
        <is>
          <t>GRIN1989</t>
        </is>
      </c>
      <c r="B80" s="2" t="inlineStr">
        <is>
          <t>The Fundamental Law of Active Management</t>
        </is>
      </c>
      <c r="C80" s="2" t="inlineStr">
        <is>
          <t>Grinold, R.C.</t>
        </is>
      </c>
      <c r="D80" s="3" t="n">
        <v>1989</v>
      </c>
      <c r="E80" s="2" t="inlineStr">
        <is>
          <t>Journal of Portfolio Management 15(3):30-37</t>
        </is>
      </c>
      <c r="F80" s="2" t="inlineStr">
        <is>
          <t>T3 Practitioner</t>
        </is>
      </c>
      <c r="G80" s="4" t="inlineStr">
        <is>
          <t>https://doi.org/10.3905/jpm.1989.409211</t>
        </is>
      </c>
      <c r="H80" s="2" t="inlineStr">
        <is>
          <t>Portfolio construction</t>
        </is>
      </c>
      <c r="I80" s="3" t="inlineStr">
        <is>
          <t>No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" t="inlineStr">
        <is>
          <t>—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—</t>
        </is>
      </c>
      <c r="V80" s="2" t="inlineStr">
        <is>
          <t>—</t>
        </is>
      </c>
      <c r="W80" s="2" t="inlineStr">
        <is>
          <t>—</t>
        </is>
      </c>
      <c r="X80" s="2" t="inlineStr">
        <is>
          <t>IR approximately IC x sqrt(breadth).</t>
        </is>
      </c>
      <c r="Y80" s="2" t="inlineStr">
        <is>
          <t>—</t>
        </is>
      </c>
      <c r="Z80" s="2" t="inlineStr">
        <is>
          <t>—</t>
        </is>
      </c>
      <c r="AA80" s="2" t="inlineStr">
        <is>
          <t>—</t>
        </is>
      </c>
      <c r="AB80" s="2" t="inlineStr">
        <is>
          <t>—</t>
        </is>
      </c>
      <c r="AC80" s="2" t="inlineStr">
        <is>
          <t>—</t>
        </is>
      </c>
      <c r="AD80" s="3" t="n">
        <v>4</v>
      </c>
      <c r="AE80" s="2" t="inlineStr">
        <is>
          <t>Links IC to IR; motivates IC-weighting baseline.</t>
        </is>
      </c>
      <c r="AF80" s="2" t="inlineStr">
        <is>
          <t>Crossref match (title, author, year, journal)</t>
        </is>
      </c>
    </row>
    <row r="81">
      <c r="A81" s="2" t="inlineStr">
        <is>
          <t>NW1987</t>
        </is>
      </c>
      <c r="B81" s="2" t="inlineStr">
        <is>
          <t>A Simple, Positive Semi-Definite, Heteroskedasticity and Autocorrelation Consistent Covariance Matrix</t>
        </is>
      </c>
      <c r="C81" s="2" t="inlineStr">
        <is>
          <t>Newey, W.K.; West, K.D.</t>
        </is>
      </c>
      <c r="D81" s="3" t="n">
        <v>1987</v>
      </c>
      <c r="E81" s="2" t="inlineStr">
        <is>
          <t>Econometrica 55(3):703-708</t>
        </is>
      </c>
      <c r="F81" s="2" t="inlineStr">
        <is>
          <t>Econometrics general</t>
        </is>
      </c>
      <c r="G81" s="4" t="inlineStr">
        <is>
          <t>https://doi.org/10.2307/1913610</t>
        </is>
      </c>
      <c r="H81" s="2" t="inlineStr">
        <is>
          <t>Statistical inference</t>
        </is>
      </c>
      <c r="I81" s="3" t="inlineStr">
        <is>
          <t>No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—</t>
        </is>
      </c>
      <c r="Q81" s="2" t="inlineStr">
        <is>
          <t>—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—</t>
        </is>
      </c>
      <c r="V81" s="2" t="inlineStr">
        <is>
          <t>—</t>
        </is>
      </c>
      <c r="W81" s="2" t="inlineStr">
        <is>
          <t>—</t>
        </is>
      </c>
      <c r="X81" s="2" t="inlineStr">
        <is>
          <t>HAC standard errors.</t>
        </is>
      </c>
      <c r="Y81" s="2" t="inlineStr">
        <is>
          <t>—</t>
        </is>
      </c>
      <c r="Z81" s="2" t="inlineStr">
        <is>
          <t>—</t>
        </is>
      </c>
      <c r="AA81" s="2" t="inlineStr">
        <is>
          <t>—</t>
        </is>
      </c>
      <c r="AB81" s="2" t="inlineStr">
        <is>
          <t>—</t>
        </is>
      </c>
      <c r="AC81" s="2" t="inlineStr">
        <is>
          <t>—</t>
        </is>
      </c>
      <c r="AD81" s="3" t="n">
        <v>4</v>
      </c>
      <c r="AE81" s="2" t="inlineStr">
        <is>
          <t>Mean-return and alpha t-statistics.</t>
        </is>
      </c>
      <c r="AF81" s="2" t="inlineStr">
        <is>
          <t>Crossref match (title, author, year, journal)</t>
        </is>
      </c>
    </row>
    <row r="82">
      <c r="A82" s="2" t="inlineStr">
        <is>
          <t>AIPT2025</t>
        </is>
      </c>
      <c r="B82" s="2" t="inlineStr">
        <is>
          <t>APT or AIPT? The Surprising Dominance of Large Factor Models</t>
        </is>
      </c>
      <c r="C82" s="2" t="inlineStr">
        <is>
          <t>Kelly, B.; et al.</t>
        </is>
      </c>
      <c r="D82" s="3" t="n">
        <v>2025</v>
      </c>
      <c r="E82" s="2" t="inlineStr">
        <is>
          <t>Working paper (EDHEC-hosted PDF, Oct 2025) [verify authors and venue]</t>
        </is>
      </c>
      <c r="F82" s="2" t="inlineStr">
        <is>
          <t>WP</t>
        </is>
      </c>
      <c r="G82" s="2" t="inlineStr"/>
      <c r="H82" s="2" t="inlineStr">
        <is>
          <t>ML asset pricing</t>
        </is>
      </c>
      <c r="I82" s="3" t="inlineStr">
        <is>
          <t>No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" t="inlineStr">
        <is>
          <t>—</t>
        </is>
      </c>
      <c r="R82" s="2" t="inlineStr">
        <is>
          <t>—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—</t>
        </is>
      </c>
      <c r="V82" s="2" t="inlineStr">
        <is>
          <t>—</t>
        </is>
      </c>
      <c r="W82" s="2" t="inlineStr">
        <is>
          <t>—</t>
        </is>
      </c>
      <c r="X82" s="2" t="inlineStr">
        <is>
          <t>Whether extra factors help depends on the eigenvalue distribution: concentrated spectra show no virtue of complexity, diffuse ones do.</t>
        </is>
      </c>
      <c r="Y82" s="2" t="inlineStr">
        <is>
          <t>—</t>
        </is>
      </c>
      <c r="Z82" s="2" t="inlineStr">
        <is>
          <t>—</t>
        </is>
      </c>
      <c r="AA82" s="2" t="inlineStr">
        <is>
          <t>—</t>
        </is>
      </c>
      <c r="AB82" s="2" t="inlineStr">
        <is>
          <t>—</t>
        </is>
      </c>
      <c r="AC82" s="2" t="inlineStr">
        <is>
          <t>—</t>
        </is>
      </c>
      <c r="AD82" s="3" t="n">
        <v>3</v>
      </c>
      <c r="AE82" s="2" t="inlineStr">
        <is>
          <t>Basis for our spectrum diagnostic, which predicts when the complexity rung should pay.</t>
        </is>
      </c>
      <c r="AF82" s="2" t="inlineStr">
        <is>
          <t>Working paper (journal DOI not available/verified)</t>
        </is>
      </c>
    </row>
    <row r="83">
      <c r="A83" s="2" t="inlineStr">
        <is>
          <t>BPZ2025</t>
        </is>
      </c>
      <c r="B83" s="2" t="inlineStr">
        <is>
          <t>Forest through the Trees: Building Cross-Sections of Stock Returns</t>
        </is>
      </c>
      <c r="C83" s="2" t="inlineStr">
        <is>
          <t>Bryzgalova, S.; Pelger, M.; Zhu, J.</t>
        </is>
      </c>
      <c r="D83" s="3" t="n">
        <v>2025</v>
      </c>
      <c r="E83" s="2" t="inlineStr">
        <is>
          <t>Journal of Finance 80:2447-2506</t>
        </is>
      </c>
      <c r="F83" s="2" t="inlineStr">
        <is>
          <t>T1 General Finance</t>
        </is>
      </c>
      <c r="G83" s="4" t="inlineStr">
        <is>
          <t>https://doi.org/10.1111/jofi.13477</t>
        </is>
      </c>
      <c r="H83" s="2" t="inlineStr">
        <is>
          <t>ML asset pricing</t>
        </is>
      </c>
      <c r="I83" s="3" t="inlineStr">
        <is>
          <t>No</t>
        </is>
      </c>
      <c r="J83" s="2" t="inlineStr">
        <is>
          <t>—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—</t>
        </is>
      </c>
      <c r="Q83" s="2" t="inlineStr">
        <is>
          <t>—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—</t>
        </is>
      </c>
      <c r="V83" s="2" t="inlineStr">
        <is>
          <t>—</t>
        </is>
      </c>
      <c r="W83" s="2" t="inlineStr">
        <is>
          <t>—</t>
        </is>
      </c>
      <c r="X83" s="2" t="inlineStr">
        <is>
          <t>Decision trees (AP-Trees) build characteristic-managed test portfolios that span the SDF.</t>
        </is>
      </c>
      <c r="Y83" s="2" t="inlineStr">
        <is>
          <t>—</t>
        </is>
      </c>
      <c r="Z83" s="2" t="inlineStr">
        <is>
          <t>—</t>
        </is>
      </c>
      <c r="AA83" s="2" t="inlineStr">
        <is>
          <t>—</t>
        </is>
      </c>
      <c r="AB83" s="2" t="inlineStr">
        <is>
          <t>—</t>
        </is>
      </c>
      <c r="AC83" s="2" t="inlineStr">
        <is>
          <t>—</t>
        </is>
      </c>
      <c r="AD83" s="3" t="n">
        <v>3</v>
      </c>
      <c r="AE83" s="2" t="inlineStr">
        <is>
          <t>Interpretable nonlinear interaction structure.</t>
        </is>
      </c>
      <c r="AF83" s="2" t="inlineStr">
        <is>
          <t>DOI from publisher page/search; Crossref-confirmed</t>
        </is>
      </c>
    </row>
    <row r="84">
      <c r="A84" s="2" t="inlineStr">
        <is>
          <t>CFHH2025</t>
        </is>
      </c>
      <c r="B84" s="2" t="inlineStr">
        <is>
          <t>Growing the Efficient Frontier on Panel Trees</t>
        </is>
      </c>
      <c r="C84" s="2" t="inlineStr">
        <is>
          <t>Cong, L.W.; Feng, G.; He, J.; He, X.</t>
        </is>
      </c>
      <c r="D84" s="3" t="n">
        <v>2025</v>
      </c>
      <c r="E84" s="2" t="inlineStr">
        <is>
          <t>Journal of Financial Economics 167:104024</t>
        </is>
      </c>
      <c r="F84" s="2" t="inlineStr">
        <is>
          <t>T1 General Finance</t>
        </is>
      </c>
      <c r="G84" s="4" t="inlineStr">
        <is>
          <t>https://doi.org/10.1016/j.jfineco.2025.104024</t>
        </is>
      </c>
      <c r="H84" s="2" t="inlineStr">
        <is>
          <t>ML asset pricing</t>
        </is>
      </c>
      <c r="I84" s="3" t="inlineStr">
        <is>
          <t>No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" t="inlineStr">
        <is>
          <t>—</t>
        </is>
      </c>
      <c r="R84" s="2" t="inlineStr">
        <is>
          <t>—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—</t>
        </is>
      </c>
      <c r="V84" s="2" t="inlineStr">
        <is>
          <t>—</t>
        </is>
      </c>
      <c r="W84" s="2" t="inlineStr">
        <is>
          <t>—</t>
        </is>
      </c>
      <c r="X84" s="2" t="inlineStr">
        <is>
          <t>P-Trees on unbalanced panels create test assets and traded factors that advance the efficient frontier.</t>
        </is>
      </c>
      <c r="Y84" s="2" t="inlineStr">
        <is>
          <t>—</t>
        </is>
      </c>
      <c r="Z84" s="2" t="inlineStr">
        <is>
          <t>—</t>
        </is>
      </c>
      <c r="AA84" s="2" t="inlineStr">
        <is>
          <t>—</t>
        </is>
      </c>
      <c r="AB84" s="2" t="inlineStr">
        <is>
          <t>—</t>
        </is>
      </c>
      <c r="AC84" s="2" t="inlineStr">
        <is>
          <t>—</t>
        </is>
      </c>
      <c r="AD84" s="3" t="n">
        <v>3</v>
      </c>
      <c r="AE84" s="2" t="inlineStr">
        <is>
          <t>Tree-based interaction discovery benchmark.</t>
        </is>
      </c>
      <c r="AF84" s="2" t="inlineStr">
        <is>
          <t>Crossref match (title, author, year, journal)</t>
        </is>
      </c>
    </row>
    <row r="85">
      <c r="A85" s="2" t="inlineStr">
        <is>
          <t>FMYY2025</t>
        </is>
      </c>
      <c r="B85" s="2" t="inlineStr">
        <is>
          <t>Cost-aware Portfolios in a Large Universe of Assets</t>
        </is>
      </c>
      <c r="C85" s="2" t="inlineStr">
        <is>
          <t>Fan, Q.; Medeiros, M.C.; Yang, H.; Yang, S.</t>
        </is>
      </c>
      <c r="D85" s="3" t="n">
        <v>2025</v>
      </c>
      <c r="E85" s="2" t="inlineStr">
        <is>
          <t>Working paper (arXiv 2412.11575, revised Aug 2025)</t>
        </is>
      </c>
      <c r="F85" s="2" t="inlineStr">
        <is>
          <t>WP</t>
        </is>
      </c>
      <c r="G85" s="2" t="inlineStr"/>
      <c r="H85" s="2" t="inlineStr">
        <is>
          <t>Portfolio construction</t>
        </is>
      </c>
      <c r="I85" s="3" t="inlineStr">
        <is>
          <t>No</t>
        </is>
      </c>
      <c r="J85" s="2" t="inlineStr">
        <is>
          <t>—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—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—</t>
        </is>
      </c>
      <c r="V85" s="2" t="inlineStr">
        <is>
          <t>—</t>
        </is>
      </c>
      <c r="W85" s="2" t="inlineStr">
        <is>
          <t>—</t>
        </is>
      </c>
      <c r="X85" s="2" t="inlineStr">
        <is>
          <t>Mean-variance rebalancing with nonconvex penalties under proportional and quadratic transaction costs in high dimensions; S&amp;P 500 and Russell 2000 evidence.</t>
        </is>
      </c>
      <c r="Y85" s="2" t="inlineStr">
        <is>
          <t>—</t>
        </is>
      </c>
      <c r="Z85" s="2" t="inlineStr">
        <is>
          <t>—</t>
        </is>
      </c>
      <c r="AA85" s="2" t="inlineStr">
        <is>
          <t>—</t>
        </is>
      </c>
      <c r="AB85" s="2" t="inlineStr">
        <is>
          <t>—</t>
        </is>
      </c>
      <c r="AC85" s="2" t="inlineStr">
        <is>
          <t>—</t>
        </is>
      </c>
      <c r="AD85" s="3" t="n">
        <v>3</v>
      </c>
      <c r="AE85" s="2" t="inlineStr">
        <is>
          <t>Alternative cost-aware optimiser to cite alongside ours.</t>
        </is>
      </c>
      <c r="AF85" s="2" t="inlineStr">
        <is>
          <t>Working paper (journal DOI not available/verified)</t>
        </is>
      </c>
    </row>
    <row r="86">
      <c r="A86" s="2" t="inlineStr">
        <is>
          <t>KKMX2025</t>
        </is>
      </c>
      <c r="B86" s="2" t="inlineStr">
        <is>
          <t>Artificial Intelligence Asset Pricing Models</t>
        </is>
      </c>
      <c r="C86" s="2" t="inlineStr">
        <is>
          <t>Kelly, B.; Kuznetsov, B.; Malamud, S.; Xu, T.A.</t>
        </is>
      </c>
      <c r="D86" s="3" t="n">
        <v>2025</v>
      </c>
      <c r="E86" s="2" t="inlineStr">
        <is>
          <t>Working paper (NBER w33351)</t>
        </is>
      </c>
      <c r="F86" s="2" t="inlineStr">
        <is>
          <t>WP</t>
        </is>
      </c>
      <c r="G86" s="2" t="inlineStr"/>
      <c r="H86" s="2" t="inlineStr">
        <is>
          <t>ML asset pricing</t>
        </is>
      </c>
      <c r="I86" s="3" t="inlineStr">
        <is>
          <t>No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" t="inlineStr">
        <is>
          <t>—</t>
        </is>
      </c>
      <c r="R86" s="2" t="inlineStr">
        <is>
          <t>—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—</t>
        </is>
      </c>
      <c r="V86" s="2" t="inlineStr">
        <is>
          <t>—</t>
        </is>
      </c>
      <c r="W86" s="2" t="inlineStr">
        <is>
          <t>—</t>
        </is>
      </c>
      <c r="X86" s="2" t="inlineStr">
        <is>
          <t>Transformer embedded in the SDF shares information across assets; large pricing-error reductions versus prior ML models.</t>
        </is>
      </c>
      <c r="Y86" s="2" t="inlineStr">
        <is>
          <t>—</t>
        </is>
      </c>
      <c r="Z86" s="2" t="inlineStr">
        <is>
          <t>—</t>
        </is>
      </c>
      <c r="AA86" s="2" t="inlineStr">
        <is>
          <t>—</t>
        </is>
      </c>
      <c r="AB86" s="2" t="inlineStr">
        <is>
          <t>—</t>
        </is>
      </c>
      <c r="AC86" s="2" t="inlineStr">
        <is>
          <t>—</t>
        </is>
      </c>
      <c r="AD86" s="3" t="n">
        <v>3</v>
      </c>
      <c r="AE86" s="2" t="inlineStr">
        <is>
          <t>Attention-based cross-asset combination; implementability untested [inference].</t>
        </is>
      </c>
      <c r="AF86" s="2" t="inlineStr">
        <is>
          <t>Working paper (journal DOI not available/verified)</t>
        </is>
      </c>
    </row>
    <row r="87">
      <c r="A87" s="2" t="inlineStr">
        <is>
          <t>LLG2025</t>
        </is>
      </c>
      <c r="B87" s="2" t="inlineStr">
        <is>
          <t>Limits To (Machine) Learning</t>
        </is>
      </c>
      <c r="C87" s="2" t="inlineStr">
        <is>
          <t>Chen, Z.; Kelly, B.; Malamud, S.</t>
        </is>
      </c>
      <c r="D87" s="3" t="n">
        <v>2025</v>
      </c>
      <c r="E87" s="2" t="inlineStr">
        <is>
          <t>Working paper (arXiv 2512.12735)</t>
        </is>
      </c>
      <c r="F87" s="2" t="inlineStr">
        <is>
          <t>WP</t>
        </is>
      </c>
      <c r="G87" s="2" t="inlineStr"/>
      <c r="H87" s="2" t="inlineStr">
        <is>
          <t>ML asset pricing</t>
        </is>
      </c>
      <c r="I87" s="3" t="inlineStr">
        <is>
          <t>No</t>
        </is>
      </c>
      <c r="J87" s="2" t="inlineStr">
        <is>
          <t>—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—</t>
        </is>
      </c>
      <c r="Q87" s="2" t="inlineStr">
        <is>
          <t>—</t>
        </is>
      </c>
      <c r="R87" s="2" t="inlineStr">
        <is>
          <t>—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—</t>
        </is>
      </c>
      <c r="V87" s="2" t="inlineStr">
        <is>
          <t>—</t>
        </is>
      </c>
      <c r="W87" s="2" t="inlineStr">
        <is>
          <t>—</t>
        </is>
      </c>
      <c r="X87" s="2" t="inlineStr">
        <is>
          <t>Defines a limits-to-learning gap: a lower bound on the discrepancy between empirical fit and the population benchmark, implying standard ML understates true predictability.</t>
        </is>
      </c>
      <c r="Y87" s="2" t="inlineStr">
        <is>
          <t>—</t>
        </is>
      </c>
      <c r="Z87" s="2" t="inlineStr">
        <is>
          <t>—</t>
        </is>
      </c>
      <c r="AA87" s="2" t="inlineStr">
        <is>
          <t>—</t>
        </is>
      </c>
      <c r="AB87" s="2" t="inlineStr">
        <is>
          <t>—</t>
        </is>
      </c>
      <c r="AC87" s="2" t="inlineStr">
        <is>
          <t>—</t>
        </is>
      </c>
      <c r="AD87" s="3" t="n">
        <v>3</v>
      </c>
      <c r="AE87" s="2" t="inlineStr">
        <is>
          <t>Cited when interpreting small R2 and IC values.</t>
        </is>
      </c>
      <c r="AF87" s="2" t="inlineStr">
        <is>
          <t>Working paper (journal DOI not available/verified)</t>
        </is>
      </c>
    </row>
    <row r="88">
      <c r="A88" s="2" t="inlineStr">
        <is>
          <t>SERT2025</t>
        </is>
      </c>
      <c r="B88" s="2" t="inlineStr">
        <is>
          <t>Asset Pricing in Pre-trained Transformer</t>
        </is>
      </c>
      <c r="C88" s="2" t="inlineStr">
        <is>
          <t>Lai, S.</t>
        </is>
      </c>
      <c r="D88" s="3" t="n">
        <v>2025</v>
      </c>
      <c r="E88" s="2" t="inlineStr">
        <is>
          <t>Working paper (arXiv 2505.01575)</t>
        </is>
      </c>
      <c r="F88" s="2" t="inlineStr">
        <is>
          <t>WP</t>
        </is>
      </c>
      <c r="G88" s="2" t="inlineStr"/>
      <c r="H88" s="2" t="inlineStr">
        <is>
          <t>ML asset pricing</t>
        </is>
      </c>
      <c r="I88" s="3" t="inlineStr">
        <is>
          <t>No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" t="inlineStr">
        <is>
          <t>—</t>
        </is>
      </c>
      <c r="R88" s="2" t="inlineStr">
        <is>
          <t>—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—</t>
        </is>
      </c>
      <c r="V88" s="2" t="inlineStr">
        <is>
          <t>—</t>
        </is>
      </c>
      <c r="W88" s="2" t="inlineStr">
        <is>
          <t>—</t>
        </is>
      </c>
      <c r="X88" s="2" t="inlineStr">
        <is>
          <t>Transformer variants for US large-cap pricing across pre-pandemic, pandemic and post-pandemic periods; reports high out-of-sample R2 during turbulent markets.</t>
        </is>
      </c>
      <c r="Y88" s="2" t="inlineStr">
        <is>
          <t>—</t>
        </is>
      </c>
      <c r="Z88" s="2" t="inlineStr">
        <is>
          <t>—</t>
        </is>
      </c>
      <c r="AA88" s="2" t="inlineStr">
        <is>
          <t>—</t>
        </is>
      </c>
      <c r="AB88" s="2" t="inlineStr">
        <is>
          <t>—</t>
        </is>
      </c>
      <c r="AC88" s="2" t="inlineStr">
        <is>
          <t>—</t>
        </is>
      </c>
      <c r="AD88" s="3" t="n">
        <v>3</v>
      </c>
      <c r="AE88" s="2" t="inlineStr">
        <is>
          <t>Context for our cross-sectional attention rung (level A4); look-ahead handling is not documented in the abstract [verify].</t>
        </is>
      </c>
      <c r="AF88" s="2" t="inlineStr">
        <is>
          <t>Working paper (journal DOI not available/verified)</t>
        </is>
      </c>
    </row>
    <row r="89">
      <c r="A89" s="2" t="inlineStr">
        <is>
          <t>SYM2025</t>
        </is>
      </c>
      <c r="B89" s="2" t="inlineStr">
        <is>
          <t>Dynamic Asset Allocation with Asset-Specific Regime Forecasts</t>
        </is>
      </c>
      <c r="C89" s="2" t="inlineStr">
        <is>
          <t>Shu, Y.; Yu, C.; Mulvey, J.M.</t>
        </is>
      </c>
      <c r="D89" s="3" t="n">
        <v>2025</v>
      </c>
      <c r="E89" s="2" t="inlineStr">
        <is>
          <t>Annals of Operations Research 346(1):285-318</t>
        </is>
      </c>
      <c r="F89" s="2" t="inlineStr">
        <is>
          <t>T2 Quant/Field</t>
        </is>
      </c>
      <c r="G89" s="4" t="inlineStr">
        <is>
          <t>https://doi.org/10.1007/s10479-024-06266-0</t>
        </is>
      </c>
      <c r="H89" s="2" t="inlineStr">
        <is>
          <t>Factor timing &amp; regimes</t>
        </is>
      </c>
      <c r="I89" s="3" t="inlineStr">
        <is>
          <t>No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—</t>
        </is>
      </c>
      <c r="Q89" s="2" t="inlineStr">
        <is>
          <t>—</t>
        </is>
      </c>
      <c r="R89" s="2" t="inlineStr">
        <is>
          <t>—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—</t>
        </is>
      </c>
      <c r="V89" s="2" t="inlineStr">
        <is>
          <t>—</t>
        </is>
      </c>
      <c r="W89" s="2" t="inlineStr">
        <is>
          <t>—</t>
        </is>
      </c>
      <c r="X89" s="2" t="inlineStr">
        <is>
          <t>Statistical jump models label regimes; gradient-boosted classifiers forecast them; forecasts feed mean-variance allocation.</t>
        </is>
      </c>
      <c r="Y89" s="2" t="inlineStr">
        <is>
          <t>—</t>
        </is>
      </c>
      <c r="Z89" s="2" t="inlineStr">
        <is>
          <t>—</t>
        </is>
      </c>
      <c r="AA89" s="2" t="inlineStr">
        <is>
          <t>—</t>
        </is>
      </c>
      <c r="AB89" s="2" t="inlineStr">
        <is>
          <t>—</t>
        </is>
      </c>
      <c r="AC89" s="2" t="inlineStr">
        <is>
          <t>—</t>
        </is>
      </c>
      <c r="AD89" s="3" t="n">
        <v>3</v>
      </c>
      <c r="AE89" s="2" t="inlineStr">
        <is>
          <t>Regime-forecast module template.</t>
        </is>
      </c>
      <c r="AF89" s="2" t="inlineStr">
        <is>
          <t>Crossref match (title, author, year, journal)</t>
        </is>
      </c>
    </row>
    <row r="90">
      <c r="A90" s="2" t="inlineStr">
        <is>
          <t>KNNV2024</t>
        </is>
      </c>
      <c r="B90" s="2" t="inlineStr">
        <is>
          <t>Factor Timing with Portfolio Characteristics</t>
        </is>
      </c>
      <c r="C90" s="2" t="inlineStr">
        <is>
          <t>Kagkadis, A.; Nolte, I.; Nolte, S.; Vasilas, N.</t>
        </is>
      </c>
      <c r="D90" s="3" t="n">
        <v>2024</v>
      </c>
      <c r="E90" s="2" t="inlineStr">
        <is>
          <t>Review of Asset Pricing Studies 14(1):84-118</t>
        </is>
      </c>
      <c r="F90" s="2" t="inlineStr">
        <is>
          <t>T1b Finance/OR</t>
        </is>
      </c>
      <c r="G90" s="4" t="inlineStr">
        <is>
          <t>https://doi.org/10.1093/rapstu/raad010</t>
        </is>
      </c>
      <c r="H90" s="2" t="inlineStr">
        <is>
          <t>Factor timing &amp; regimes</t>
        </is>
      </c>
      <c r="I90" s="3" t="inlineStr">
        <is>
          <t>No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" t="inlineStr">
        <is>
          <t>—</t>
        </is>
      </c>
      <c r="R90" s="2" t="inlineStr">
        <is>
          <t>—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—</t>
        </is>
      </c>
      <c r="V90" s="2" t="inlineStr">
        <is>
          <t>—</t>
        </is>
      </c>
      <c r="W90" s="2" t="inlineStr">
        <is>
          <t>—</t>
        </is>
      </c>
      <c r="X90" s="2" t="inlineStr">
        <is>
          <t>Timing factor returns with their portfolios' characteristics outperforms existing timing methods.</t>
        </is>
      </c>
      <c r="Y90" s="2" t="inlineStr">
        <is>
          <t>—</t>
        </is>
      </c>
      <c r="Z90" s="2" t="inlineStr">
        <is>
          <t>—</t>
        </is>
      </c>
      <c r="AA90" s="2" t="inlineStr">
        <is>
          <t>—</t>
        </is>
      </c>
      <c r="AB90" s="2" t="inlineStr">
        <is>
          <t>—</t>
        </is>
      </c>
      <c r="AC90" s="2" t="inlineStr">
        <is>
          <t>—</t>
        </is>
      </c>
      <c r="AD90" s="3" t="n">
        <v>3</v>
      </c>
      <c r="AE90" s="2" t="inlineStr">
        <is>
          <t>Timing-predictor candidate.</t>
        </is>
      </c>
      <c r="AF90" s="2" t="inlineStr">
        <is>
          <t>Crossref match (title, author, year, journal)</t>
        </is>
      </c>
    </row>
    <row r="91">
      <c r="A91" s="2" t="inlineStr">
        <is>
          <t>ULM2024</t>
        </is>
      </c>
      <c r="B91" s="2" t="inlineStr">
        <is>
          <t>End-to-End Risk Budgeting Portfolio Optimization with Neural Networks</t>
        </is>
      </c>
      <c r="C91" s="2" t="inlineStr">
        <is>
          <t>Uysal, A.S.; Li, X.; Mulvey, J.M.</t>
        </is>
      </c>
      <c r="D91" s="3" t="n">
        <v>2024</v>
      </c>
      <c r="E91" s="2" t="inlineStr">
        <is>
          <t>Annals of Operations Research 339(1-2):397-426</t>
        </is>
      </c>
      <c r="F91" s="2" t="inlineStr">
        <is>
          <t>T2 Quant/Field</t>
        </is>
      </c>
      <c r="G91" s="4" t="inlineStr">
        <is>
          <t>https://doi.org/10.1007/s10479-023-05539-4</t>
        </is>
      </c>
      <c r="H91" s="2" t="inlineStr">
        <is>
          <t>End-to-end / decision-focused</t>
        </is>
      </c>
      <c r="I91" s="3" t="inlineStr">
        <is>
          <t>No</t>
        </is>
      </c>
      <c r="J91" s="2" t="inlineStr">
        <is>
          <t>—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—</t>
        </is>
      </c>
      <c r="Q91" s="2" t="inlineStr">
        <is>
          <t>—</t>
        </is>
      </c>
      <c r="R91" s="2" t="inlineStr">
        <is>
          <t>—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—</t>
        </is>
      </c>
      <c r="V91" s="2" t="inlineStr">
        <is>
          <t>—</t>
        </is>
      </c>
      <c r="W91" s="2" t="inlineStr">
        <is>
          <t>—</t>
        </is>
      </c>
      <c r="X91" s="2" t="inlineStr">
        <is>
          <t>Model-based network with risk-budgeting implicit layer; ETF out-of-sample 2017-2021 Sharpe 1.16 vs 0.83 for pure risk budgeting.</t>
        </is>
      </c>
      <c r="Y91" s="2" t="inlineStr">
        <is>
          <t>—</t>
        </is>
      </c>
      <c r="Z91" s="2" t="inlineStr">
        <is>
          <t>—</t>
        </is>
      </c>
      <c r="AA91" s="2" t="inlineStr">
        <is>
          <t>—</t>
        </is>
      </c>
      <c r="AB91" s="2" t="inlineStr">
        <is>
          <t>—</t>
        </is>
      </c>
      <c r="AC91" s="2" t="inlineStr">
        <is>
          <t>—</t>
        </is>
      </c>
      <c r="AD91" s="3" t="n">
        <v>3</v>
      </c>
      <c r="AE91" s="2" t="inlineStr">
        <is>
          <t>Small-universe end-to-end evidence.</t>
        </is>
      </c>
      <c r="AF91" s="2" t="inlineStr">
        <is>
          <t>DOI from publisher page/search; Crossref-confirmed</t>
        </is>
      </c>
    </row>
    <row r="92">
      <c r="A92" s="2" t="inlineStr">
        <is>
          <t>CI2023</t>
        </is>
      </c>
      <c r="B92" s="2" t="inlineStr">
        <is>
          <t>Distributionally Robust End-to-End Portfolio Construction</t>
        </is>
      </c>
      <c r="C92" s="2" t="inlineStr">
        <is>
          <t>Costa, G.; Iyengar, G.N.</t>
        </is>
      </c>
      <c r="D92" s="3" t="n">
        <v>2023</v>
      </c>
      <c r="E92" s="2" t="inlineStr">
        <is>
          <t>Quantitative Finance 23(10):1465-1482</t>
        </is>
      </c>
      <c r="F92" s="2" t="inlineStr">
        <is>
          <t>T2 Quant/Field</t>
        </is>
      </c>
      <c r="G92" s="4" t="inlineStr">
        <is>
          <t>https://doi.org/10.1080/14697688.2023.2236148</t>
        </is>
      </c>
      <c r="H92" s="2" t="inlineStr">
        <is>
          <t>End-to-end / decision-focused</t>
        </is>
      </c>
      <c r="I92" s="3" t="inlineStr">
        <is>
          <t>No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" t="inlineStr">
        <is>
          <t>—</t>
        </is>
      </c>
      <c r="R92" s="2" t="inlineStr">
        <is>
          <t>—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—</t>
        </is>
      </c>
      <c r="V92" s="2" t="inlineStr">
        <is>
          <t>—</t>
        </is>
      </c>
      <c r="W92" s="2" t="inlineStr">
        <is>
          <t>—</t>
        </is>
      </c>
      <c r="X92" s="2" t="inlineStr">
        <is>
          <t>End-to-end system with a DRO layer that learns robustness parameters.</t>
        </is>
      </c>
      <c r="Y92" s="2" t="inlineStr">
        <is>
          <t>—</t>
        </is>
      </c>
      <c r="Z92" s="2" t="inlineStr">
        <is>
          <t>—</t>
        </is>
      </c>
      <c r="AA92" s="2" t="inlineStr">
        <is>
          <t>—</t>
        </is>
      </c>
      <c r="AB92" s="2" t="inlineStr">
        <is>
          <t>—</t>
        </is>
      </c>
      <c r="AC92" s="2" t="inlineStr">
        <is>
          <t>—</t>
        </is>
      </c>
      <c r="AD92" s="3" t="n">
        <v>3</v>
      </c>
      <c r="AE92" s="2" t="inlineStr">
        <is>
          <t>Robust end-to-end benchmark. [verify pages]</t>
        </is>
      </c>
      <c r="AF92" s="2" t="inlineStr">
        <is>
          <t>DOI from publisher page/search; Crossref-confirmed</t>
        </is>
      </c>
    </row>
    <row r="93">
      <c r="A93" s="2" t="inlineStr">
        <is>
          <t>DKKM2023</t>
        </is>
      </c>
      <c r="B93" s="2" t="inlineStr">
        <is>
          <t>Complexity in Factor Pricing Models</t>
        </is>
      </c>
      <c r="C93" s="2" t="inlineStr">
        <is>
          <t>Didisheim, A.; Ke, S.; Kelly, B.; Malamud, S.</t>
        </is>
      </c>
      <c r="D93" s="3" t="n">
        <v>2023</v>
      </c>
      <c r="E93" s="2" t="inlineStr">
        <is>
          <t>Working paper (NBER w31689; SSRN 4574634)</t>
        </is>
      </c>
      <c r="F93" s="2" t="inlineStr">
        <is>
          <t>WP</t>
        </is>
      </c>
      <c r="G93" s="2" t="inlineStr"/>
      <c r="H93" s="2" t="inlineStr">
        <is>
          <t>ML asset pricing</t>
        </is>
      </c>
      <c r="I93" s="3" t="inlineStr">
        <is>
          <t>No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—</t>
        </is>
      </c>
      <c r="O93" s="2" t="inlineStr">
        <is>
          <t>—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—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—</t>
        </is>
      </c>
      <c r="V93" s="2" t="inlineStr">
        <is>
          <t>—</t>
        </is>
      </c>
      <c r="W93" s="2" t="inlineStr">
        <is>
          <t>—</t>
        </is>
      </c>
      <c r="X93" s="2" t="inlineStr">
        <is>
          <t>Out-of-sample SDF Sharpe and pricing errors improve with model parameterisation; very large factor models outperform simpler ones.</t>
        </is>
      </c>
      <c r="Y93" s="2" t="inlineStr">
        <is>
          <t>—</t>
        </is>
      </c>
      <c r="Z93" s="2" t="inlineStr">
        <is>
          <t>—</t>
        </is>
      </c>
      <c r="AA93" s="2" t="inlineStr">
        <is>
          <t>—</t>
        </is>
      </c>
      <c r="AB93" s="2" t="inlineStr">
        <is>
          <t>—</t>
        </is>
      </c>
      <c r="AC93" s="2" t="inlineStr">
        <is>
          <t>—</t>
        </is>
      </c>
      <c r="AD93" s="3" t="n">
        <v>3</v>
      </c>
      <c r="AE93" s="2" t="inlineStr">
        <is>
          <t>Complexity dimension; must be confronted with costs.</t>
        </is>
      </c>
      <c r="AF93" s="2" t="inlineStr">
        <is>
          <t>Working paper (journal DOI not available/verified)</t>
        </is>
      </c>
    </row>
    <row r="94">
      <c r="A94" s="2" t="inlineStr">
        <is>
          <t>DNMV2023</t>
        </is>
      </c>
      <c r="B94" s="2" t="inlineStr">
        <is>
          <t>Model Comparison with Transaction Costs</t>
        </is>
      </c>
      <c r="C94" s="2" t="inlineStr">
        <is>
          <t>Detzel, A.; Novy-Marx, R.; Velikov, M.</t>
        </is>
      </c>
      <c r="D94" s="3" t="n">
        <v>2023</v>
      </c>
      <c r="E94" s="2" t="inlineStr">
        <is>
          <t>Journal of Finance 78(3):1743-1775</t>
        </is>
      </c>
      <c r="F94" s="2" t="inlineStr">
        <is>
          <t>T1 General Finance</t>
        </is>
      </c>
      <c r="G94" s="4" t="inlineStr">
        <is>
          <t>https://doi.org/10.1111/jofi.13225</t>
        </is>
      </c>
      <c r="H94" s="2" t="inlineStr">
        <is>
          <t>TC &amp; implementability</t>
        </is>
      </c>
      <c r="I94" s="3" t="inlineStr">
        <is>
          <t>No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" t="inlineStr">
        <is>
          <t>—</t>
        </is>
      </c>
      <c r="R94" s="2" t="inlineStr">
        <is>
          <t>—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—</t>
        </is>
      </c>
      <c r="V94" s="2" t="inlineStr">
        <is>
          <t>—</t>
        </is>
      </c>
      <c r="W94" s="2" t="inlineStr">
        <is>
          <t>—</t>
        </is>
      </c>
      <c r="X94" s="2" t="inlineStr">
        <is>
          <t>Ignoring costs biases model comparison toward high-cost factors; net of costs FF5 beats q-factor and six-factor models.</t>
        </is>
      </c>
      <c r="Y94" s="2" t="inlineStr">
        <is>
          <t>—</t>
        </is>
      </c>
      <c r="Z94" s="2" t="inlineStr">
        <is>
          <t>—</t>
        </is>
      </c>
      <c r="AA94" s="2" t="inlineStr">
        <is>
          <t>—</t>
        </is>
      </c>
      <c r="AB94" s="2" t="inlineStr">
        <is>
          <t>—</t>
        </is>
      </c>
      <c r="AC94" s="2" t="inlineStr">
        <is>
          <t>—</t>
        </is>
      </c>
      <c r="AD94" s="3" t="n">
        <v>3</v>
      </c>
      <c r="AE94" s="2" t="inlineStr">
        <is>
          <t>Net-of-cost alpha benchmark choice.</t>
        </is>
      </c>
      <c r="AF94" s="2" t="inlineStr">
        <is>
          <t>DOI from publisher page/search; Crossref-confirmed</t>
        </is>
      </c>
    </row>
    <row r="95">
      <c r="A95" s="2" t="inlineStr">
        <is>
          <t>KMP2023</t>
        </is>
      </c>
      <c r="B95" s="2" t="inlineStr">
        <is>
          <t>Principal Portfolios</t>
        </is>
      </c>
      <c r="C95" s="2" t="inlineStr">
        <is>
          <t>Kelly, B.; Malamud, S.; Pedersen, L.H.</t>
        </is>
      </c>
      <c r="D95" s="3" t="n">
        <v>2023</v>
      </c>
      <c r="E95" s="2" t="inlineStr">
        <is>
          <t>Journal of Finance 78(1):347-387</t>
        </is>
      </c>
      <c r="F95" s="2" t="inlineStr">
        <is>
          <t>T1 General Finance</t>
        </is>
      </c>
      <c r="G95" s="4" t="inlineStr">
        <is>
          <t>https://doi.org/10.1111/jofi.13199</t>
        </is>
      </c>
      <c r="H95" s="2" t="inlineStr">
        <is>
          <t>ML asset pricing</t>
        </is>
      </c>
      <c r="I95" s="3" t="inlineStr">
        <is>
          <t>No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—</t>
        </is>
      </c>
      <c r="O95" s="2" t="inlineStr">
        <is>
          <t>—</t>
        </is>
      </c>
      <c r="P95" s="2" t="inlineStr">
        <is>
          <t>—</t>
        </is>
      </c>
      <c r="Q95" s="2" t="inlineStr">
        <is>
          <t>—</t>
        </is>
      </c>
      <c r="R95" s="2" t="inlineStr">
        <is>
          <t>—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—</t>
        </is>
      </c>
      <c r="V95" s="2" t="inlineStr">
        <is>
          <t>—</t>
        </is>
      </c>
      <c r="W95" s="2" t="inlineStr">
        <is>
          <t>—</t>
        </is>
      </c>
      <c r="X95" s="2" t="inlineStr">
        <is>
          <t>When all signals predict all returns, optimal strategies are eigenvectors of the prediction matrix; principal portfolios earn out-of-sample alphas.</t>
        </is>
      </c>
      <c r="Y95" s="2" t="inlineStr">
        <is>
          <t>—</t>
        </is>
      </c>
      <c r="Z95" s="2" t="inlineStr">
        <is>
          <t>—</t>
        </is>
      </c>
      <c r="AA95" s="2" t="inlineStr">
        <is>
          <t>—</t>
        </is>
      </c>
      <c r="AB95" s="2" t="inlineStr">
        <is>
          <t>—</t>
        </is>
      </c>
      <c r="AC95" s="2" t="inlineStr">
        <is>
          <t>—</t>
        </is>
      </c>
      <c r="AD95" s="3" t="n">
        <v>3</v>
      </c>
      <c r="AE95" s="2" t="inlineStr">
        <is>
          <t>Cross-asset signal interactions.</t>
        </is>
      </c>
      <c r="AF95" s="2" t="inlineStr">
        <is>
          <t>DOI from publisher page/search; Crossref-confirmed</t>
        </is>
      </c>
    </row>
    <row r="96">
      <c r="A96" s="2" t="inlineStr">
        <is>
          <t>BCZ2022</t>
        </is>
      </c>
      <c r="B96" s="2" t="inlineStr">
        <is>
          <t>Distributionally Robust Mean-Variance Portfolio Selection with Wasserstein Distances</t>
        </is>
      </c>
      <c r="C96" s="2" t="inlineStr">
        <is>
          <t>Blanchet, J.; Chen, L.; Zhou, X.Y.</t>
        </is>
      </c>
      <c r="D96" s="3" t="n">
        <v>2022</v>
      </c>
      <c r="E96" s="2" t="inlineStr">
        <is>
          <t>Management Science 68(9):6382-6410</t>
        </is>
      </c>
      <c r="F96" s="2" t="inlineStr">
        <is>
          <t>T1b Finance/OR</t>
        </is>
      </c>
      <c r="G96" s="4" t="inlineStr">
        <is>
          <t>https://doi.org/10.1287/mnsc.2021.4155</t>
        </is>
      </c>
      <c r="H96" s="2" t="inlineStr">
        <is>
          <t>Portfolio construction</t>
        </is>
      </c>
      <c r="I96" s="3" t="inlineStr">
        <is>
          <t>No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" t="inlineStr">
        <is>
          <t>—</t>
        </is>
      </c>
      <c r="R96" s="2" t="inlineStr">
        <is>
          <t>—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—</t>
        </is>
      </c>
      <c r="V96" s="2" t="inlineStr">
        <is>
          <t>—</t>
        </is>
      </c>
      <c r="W96" s="2" t="inlineStr">
        <is>
          <t>—</t>
        </is>
      </c>
      <c r="X96" s="2" t="inlineStr">
        <is>
          <t>Wasserstein DRO mean-variance with data-driven calibration of the ambiguity radius.</t>
        </is>
      </c>
      <c r="Y96" s="2" t="inlineStr">
        <is>
          <t>—</t>
        </is>
      </c>
      <c r="Z96" s="2" t="inlineStr">
        <is>
          <t>—</t>
        </is>
      </c>
      <c r="AA96" s="2" t="inlineStr">
        <is>
          <t>—</t>
        </is>
      </c>
      <c r="AB96" s="2" t="inlineStr">
        <is>
          <t>—</t>
        </is>
      </c>
      <c r="AC96" s="2" t="inlineStr">
        <is>
          <t>—</t>
        </is>
      </c>
      <c r="AD96" s="3" t="n">
        <v>3</v>
      </c>
      <c r="AE96" s="2" t="inlineStr">
        <is>
          <t>DRO optimiser variant.</t>
        </is>
      </c>
      <c r="AF96" s="2" t="inlineStr">
        <is>
          <t>Crossref match (title, author, year, journal)</t>
        </is>
      </c>
    </row>
    <row r="97">
      <c r="A97" s="2" t="inlineStr">
        <is>
          <t>EL2022</t>
        </is>
      </c>
      <c r="B97" s="2" t="inlineStr">
        <is>
          <t>Factor Momentum and the Momentum Factor</t>
        </is>
      </c>
      <c r="C97" s="2" t="inlineStr">
        <is>
          <t>Ehsani, S.; Linnainmaa, J.T.</t>
        </is>
      </c>
      <c r="D97" s="3" t="n">
        <v>2022</v>
      </c>
      <c r="E97" s="2" t="inlineStr">
        <is>
          <t>Journal of Finance 77(3):1877-1919</t>
        </is>
      </c>
      <c r="F97" s="2" t="inlineStr">
        <is>
          <t>T1 General Finance</t>
        </is>
      </c>
      <c r="G97" s="4" t="inlineStr">
        <is>
          <t>https://doi.org/10.1111/jofi.13131</t>
        </is>
      </c>
      <c r="H97" s="2" t="inlineStr">
        <is>
          <t>Factor timing &amp; regimes</t>
        </is>
      </c>
      <c r="I97" s="3" t="inlineStr">
        <is>
          <t>No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—</t>
        </is>
      </c>
      <c r="O97" s="2" t="inlineStr">
        <is>
          <t>—</t>
        </is>
      </c>
      <c r="P97" s="2" t="inlineStr">
        <is>
          <t>—</t>
        </is>
      </c>
      <c r="Q97" s="2" t="inlineStr">
        <is>
          <t>—</t>
        </is>
      </c>
      <c r="R97" s="2" t="inlineStr">
        <is>
          <t>—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—</t>
        </is>
      </c>
      <c r="V97" s="2" t="inlineStr">
        <is>
          <t>—</t>
        </is>
      </c>
      <c r="W97" s="2" t="inlineStr">
        <is>
          <t>—</t>
        </is>
      </c>
      <c r="X97" s="2" t="inlineStr">
        <is>
          <t>Factors are autocorrelated (6 bp after losing years vs 51 bp after winning years); momentum times other factors.</t>
        </is>
      </c>
      <c r="Y97" s="2" t="inlineStr">
        <is>
          <t>—</t>
        </is>
      </c>
      <c r="Z97" s="2" t="inlineStr">
        <is>
          <t>—</t>
        </is>
      </c>
      <c r="AA97" s="2" t="inlineStr">
        <is>
          <t>—</t>
        </is>
      </c>
      <c r="AB97" s="2" t="inlineStr">
        <is>
          <t>—</t>
        </is>
      </c>
      <c r="AC97" s="2" t="inlineStr">
        <is>
          <t>—</t>
        </is>
      </c>
      <c r="AD97" s="3" t="n">
        <v>3</v>
      </c>
      <c r="AE97" s="2" t="inlineStr">
        <is>
          <t>Signal-level efficacy predictor.</t>
        </is>
      </c>
      <c r="AF97" s="2" t="inlineStr">
        <is>
          <t>DOI from publisher page/search; Crossref-confirmed</t>
        </is>
      </c>
    </row>
    <row r="98">
      <c r="A98" s="2" t="inlineStr">
        <is>
          <t>GKX2022</t>
        </is>
      </c>
      <c r="B98" s="2" t="inlineStr">
        <is>
          <t>Factor Models, Machine Learning, and Asset Pricing</t>
        </is>
      </c>
      <c r="C98" s="2" t="inlineStr">
        <is>
          <t>Giglio, S.; Kelly, B.; Xiu, D.</t>
        </is>
      </c>
      <c r="D98" s="3" t="n">
        <v>2022</v>
      </c>
      <c r="E98" s="2" t="inlineStr">
        <is>
          <t>Annual Review of Financial Economics 14:337-368</t>
        </is>
      </c>
      <c r="F98" s="2" t="inlineStr">
        <is>
          <t>Survey</t>
        </is>
      </c>
      <c r="G98" s="4" t="inlineStr">
        <is>
          <t>https://doi.org/10.1146/annurev-financial-101521-104735</t>
        </is>
      </c>
      <c r="H98" s="2" t="inlineStr">
        <is>
          <t>ML asset pricing</t>
        </is>
      </c>
      <c r="I98" s="3" t="inlineStr">
        <is>
          <t>No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" t="inlineStr">
        <is>
          <t>—</t>
        </is>
      </c>
      <c r="R98" s="2" t="inlineStr">
        <is>
          <t>—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—</t>
        </is>
      </c>
      <c r="V98" s="2" t="inlineStr">
        <is>
          <t>—</t>
        </is>
      </c>
      <c r="W98" s="2" t="inlineStr">
        <is>
          <t>—</t>
        </is>
      </c>
      <c r="X98" s="2" t="inlineStr">
        <is>
          <t>Survey of factor models and ML methods in asset pricing.</t>
        </is>
      </c>
      <c r="Y98" s="2" t="inlineStr">
        <is>
          <t>—</t>
        </is>
      </c>
      <c r="Z98" s="2" t="inlineStr">
        <is>
          <t>—</t>
        </is>
      </c>
      <c r="AA98" s="2" t="inlineStr">
        <is>
          <t>—</t>
        </is>
      </c>
      <c r="AB98" s="2" t="inlineStr">
        <is>
          <t>—</t>
        </is>
      </c>
      <c r="AC98" s="2" t="inlineStr">
        <is>
          <t>—</t>
        </is>
      </c>
      <c r="AD98" s="3" t="n">
        <v>3</v>
      </c>
      <c r="AE98" s="2" t="inlineStr">
        <is>
          <t>Background survey. [verify pages]</t>
        </is>
      </c>
      <c r="AF98" s="2" t="inlineStr">
        <is>
          <t>Crossref match (title, author, year, journal)</t>
        </is>
      </c>
    </row>
    <row r="99">
      <c r="A99" s="2" t="inlineStr">
        <is>
          <t>LWZ2022</t>
        </is>
      </c>
      <c r="B99" s="2" t="inlineStr">
        <is>
          <t>Machine Learning in the Chinese Stock Market</t>
        </is>
      </c>
      <c r="C99" s="2" t="inlineStr">
        <is>
          <t>Leippold, M.; Wang, Q.; Zhou, W.</t>
        </is>
      </c>
      <c r="D99" s="3" t="n">
        <v>2022</v>
      </c>
      <c r="E99" s="2" t="inlineStr">
        <is>
          <t>Journal of Financial Economics 145(2):64-82</t>
        </is>
      </c>
      <c r="F99" s="2" t="inlineStr">
        <is>
          <t>T1 General Finance</t>
        </is>
      </c>
      <c r="G99" s="4" t="inlineStr">
        <is>
          <t>https://doi.org/10.1016/j.jfineco.2021.08.017</t>
        </is>
      </c>
      <c r="H99" s="2" t="inlineStr">
        <is>
          <t>ML asset pricing</t>
        </is>
      </c>
      <c r="I99" s="3" t="inlineStr">
        <is>
          <t>No</t>
        </is>
      </c>
      <c r="J99" s="2" t="inlineStr">
        <is>
          <t>—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—</t>
        </is>
      </c>
      <c r="Q99" s="2" t="inlineStr">
        <is>
          <t>—</t>
        </is>
      </c>
      <c r="R99" s="2" t="inlineStr">
        <is>
          <t>—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—</t>
        </is>
      </c>
      <c r="V99" s="2" t="inlineStr">
        <is>
          <t>—</t>
        </is>
      </c>
      <c r="W99" s="2" t="inlineStr">
        <is>
          <t>—</t>
        </is>
      </c>
      <c r="X99" s="2" t="inlineStr">
        <is>
          <t>Liquidity is the most important predictor in China; retail presence drives short-term predictability; ML performance economically significant after costs.</t>
        </is>
      </c>
      <c r="Y99" s="2" t="inlineStr">
        <is>
          <t>—</t>
        </is>
      </c>
      <c r="Z99" s="2" t="inlineStr">
        <is>
          <t>—</t>
        </is>
      </c>
      <c r="AA99" s="2" t="inlineStr">
        <is>
          <t>—</t>
        </is>
      </c>
      <c r="AB99" s="2" t="inlineStr">
        <is>
          <t>—</t>
        </is>
      </c>
      <c r="AC99" s="2" t="inlineStr">
        <is>
          <t>—</t>
        </is>
      </c>
      <c r="AD99" s="3" t="n">
        <v>3</v>
      </c>
      <c r="AE99" s="2" t="inlineStr">
        <is>
          <t>Market-structure dependence of ML signals.</t>
        </is>
      </c>
      <c r="AF99" s="2" t="inlineStr">
        <is>
          <t>DOI from publisher page/search; Crossref-confirmed</t>
        </is>
      </c>
    </row>
    <row r="100">
      <c r="A100" s="2" t="inlineStr">
        <is>
          <t>GKX2021</t>
        </is>
      </c>
      <c r="B100" s="2" t="inlineStr">
        <is>
          <t>Autoencoder Asset Pricing Models</t>
        </is>
      </c>
      <c r="C100" s="2" t="inlineStr">
        <is>
          <t>Gu, S.; Kelly, B.; Xiu, D.</t>
        </is>
      </c>
      <c r="D100" s="3" t="n">
        <v>2021</v>
      </c>
      <c r="E100" s="2" t="inlineStr">
        <is>
          <t>Journal of Econometrics 222(1):429-450</t>
        </is>
      </c>
      <c r="F100" s="2" t="inlineStr">
        <is>
          <t>T2 Quant/Field</t>
        </is>
      </c>
      <c r="G100" s="4" t="inlineStr">
        <is>
          <t>https://doi.org/10.1016/j.jeconom.2020.07.009</t>
        </is>
      </c>
      <c r="H100" s="2" t="inlineStr">
        <is>
          <t>ML asset pricing</t>
        </is>
      </c>
      <c r="I100" s="3" t="inlineStr">
        <is>
          <t>No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" t="inlineStr">
        <is>
          <t>—</t>
        </is>
      </c>
      <c r="R100" s="2" t="inlineStr">
        <is>
          <t>—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—</t>
        </is>
      </c>
      <c r="V100" s="2" t="inlineStr">
        <is>
          <t>—</t>
        </is>
      </c>
      <c r="W100" s="2" t="inlineStr">
        <is>
          <t>—</t>
        </is>
      </c>
      <c r="X100" s="2" t="inlineStr">
        <is>
          <t>Conditional autoencoder links characteristics to nonlinear conditional betas and latent factors under no-arbitrage.</t>
        </is>
      </c>
      <c r="Y100" s="2" t="inlineStr">
        <is>
          <t>—</t>
        </is>
      </c>
      <c r="Z100" s="2" t="inlineStr">
        <is>
          <t>—</t>
        </is>
      </c>
      <c r="AA100" s="2" t="inlineStr">
        <is>
          <t>—</t>
        </is>
      </c>
      <c r="AB100" s="2" t="inlineStr">
        <is>
          <t>—</t>
        </is>
      </c>
      <c r="AC100" s="2" t="inlineStr">
        <is>
          <t>—</t>
        </is>
      </c>
      <c r="AD100" s="3" t="n">
        <v>3</v>
      </c>
      <c r="AE100" s="2" t="inlineStr">
        <is>
          <t>Latent-factor benchmark; tested under restrictions by ACM2023.</t>
        </is>
      </c>
      <c r="AF100" s="2" t="inlineStr">
        <is>
          <t>Crossref match (title, author, year, journal)</t>
        </is>
      </c>
    </row>
    <row r="101">
      <c r="A101" s="2" t="inlineStr">
        <is>
          <t>GLX2021</t>
        </is>
      </c>
      <c r="B101" s="2" t="inlineStr">
        <is>
          <t>Thousands of Alpha Tests</t>
        </is>
      </c>
      <c r="C101" s="2" t="inlineStr">
        <is>
          <t>Giglio, S.; Liao, Y.; Xiu, D.</t>
        </is>
      </c>
      <c r="D101" s="3" t="n">
        <v>2021</v>
      </c>
      <c r="E101" s="2" t="inlineStr">
        <is>
          <t>Review of Financial Studies 34(7):3456-3496</t>
        </is>
      </c>
      <c r="F101" s="2" t="inlineStr">
        <is>
          <t>T1 General Finance</t>
        </is>
      </c>
      <c r="G101" s="4" t="inlineStr">
        <is>
          <t>https://doi.org/10.1093/rfs/hhaa111</t>
        </is>
      </c>
      <c r="H101" s="2" t="inlineStr">
        <is>
          <t>Replication &amp; multiple testing</t>
        </is>
      </c>
      <c r="I101" s="3" t="inlineStr">
        <is>
          <t>No</t>
        </is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—</t>
        </is>
      </c>
      <c r="Q101" s="2" t="inlineStr">
        <is>
          <t>—</t>
        </is>
      </c>
      <c r="R101" s="2" t="inlineStr">
        <is>
          <t>—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—</t>
        </is>
      </c>
      <c r="V101" s="2" t="inlineStr">
        <is>
          <t>—</t>
        </is>
      </c>
      <c r="W101" s="2" t="inlineStr">
        <is>
          <t>—</t>
        </is>
      </c>
      <c r="X101" s="2" t="inlineStr">
        <is>
          <t>FDR control for thousands of alpha tests with omitted factors.</t>
        </is>
      </c>
      <c r="Y101" s="2" t="inlineStr">
        <is>
          <t>—</t>
        </is>
      </c>
      <c r="Z101" s="2" t="inlineStr">
        <is>
          <t>—</t>
        </is>
      </c>
      <c r="AA101" s="2" t="inlineStr">
        <is>
          <t>—</t>
        </is>
      </c>
      <c r="AB101" s="2" t="inlineStr">
        <is>
          <t>—</t>
        </is>
      </c>
      <c r="AC101" s="2" t="inlineStr">
        <is>
          <t>—</t>
        </is>
      </c>
      <c r="AD101" s="3" t="n">
        <v>3</v>
      </c>
      <c r="AE101" s="2" t="inlineStr">
        <is>
          <t>Multiple-testing correction for signal-level claims.</t>
        </is>
      </c>
      <c r="AF101" s="2" t="inlineStr">
        <is>
          <t>Crossref match (title, author, year, journal)</t>
        </is>
      </c>
    </row>
    <row r="102">
      <c r="A102" s="2" t="inlineStr">
        <is>
          <t>LLMSS2021</t>
        </is>
      </c>
      <c r="B102" s="2" t="inlineStr">
        <is>
          <t>The Promises and Pitfalls of Machine Learning for Predicting Stock Returns</t>
        </is>
      </c>
      <c r="C102" s="2" t="inlineStr">
        <is>
          <t>Leung, E.; Lohre, H.; Mischlich, D.; Shea, Y.; Stroh, M.</t>
        </is>
      </c>
      <c r="D102" s="3" t="n">
        <v>2021</v>
      </c>
      <c r="E102" s="2" t="inlineStr">
        <is>
          <t>Journal of Financial Data Science 3(2):21-50</t>
        </is>
      </c>
      <c r="F102" s="2" t="inlineStr">
        <is>
          <t>T3 Practitioner</t>
        </is>
      </c>
      <c r="G102" s="4" t="inlineStr">
        <is>
          <t>https://doi.org/10.3905/jfds.2021.1.062</t>
        </is>
      </c>
      <c r="H102" s="2" t="inlineStr">
        <is>
          <t>ML strategies &amp; implementability</t>
        </is>
      </c>
      <c r="I102" s="3" t="inlineStr">
        <is>
          <t>No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" t="inlineStr">
        <is>
          <t>—</t>
        </is>
      </c>
      <c r="R102" s="2" t="inlineStr">
        <is>
          <t>—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—</t>
        </is>
      </c>
      <c r="V102" s="2" t="inlineStr">
        <is>
          <t>—</t>
        </is>
      </c>
      <c r="W102" s="2" t="inlineStr">
        <is>
          <t>—</t>
        </is>
      </c>
      <c r="X102" s="2" t="inlineStr">
        <is>
          <t>Compares GBM with OLS on large/mid-cap regional universes; quantifies where ML adds value and its pitfalls.</t>
        </is>
      </c>
      <c r="Y102" s="2" t="inlineStr">
        <is>
          <t>—</t>
        </is>
      </c>
      <c r="Z102" s="2" t="inlineStr">
        <is>
          <t>—</t>
        </is>
      </c>
      <c r="AA102" s="2" t="inlineStr">
        <is>
          <t>—</t>
        </is>
      </c>
      <c r="AB102" s="2" t="inlineStr">
        <is>
          <t>—</t>
        </is>
      </c>
      <c r="AC102" s="2" t="inlineStr">
        <is>
          <t>—</t>
        </is>
      </c>
      <c r="AD102" s="3" t="n">
        <v>3</v>
      </c>
      <c r="AE102" s="2" t="inlineStr">
        <is>
          <t>Large-cap evidence on ML value.</t>
        </is>
      </c>
      <c r="AF102" s="2" t="inlineStr">
        <is>
          <t>Crossref match (title, author, year, journal)</t>
        </is>
      </c>
    </row>
    <row r="103">
      <c r="A103" s="2" t="inlineStr">
        <is>
          <t>NAG2021</t>
        </is>
      </c>
      <c r="B103" s="2" t="inlineStr">
        <is>
          <t>Machine Learning in Asset Pricing</t>
        </is>
      </c>
      <c r="C103" s="2" t="inlineStr">
        <is>
          <t>Nagel, S.</t>
        </is>
      </c>
      <c r="D103" s="3" t="n">
        <v>2021</v>
      </c>
      <c r="E103" s="2" t="inlineStr">
        <is>
          <t>Princeton University Press (book)</t>
        </is>
      </c>
      <c r="F103" s="2" t="inlineStr">
        <is>
          <t>Book</t>
        </is>
      </c>
      <c r="G103" s="2" t="inlineStr"/>
      <c r="H103" s="2" t="inlineStr">
        <is>
          <t>ML asset pricing</t>
        </is>
      </c>
      <c r="I103" s="3" t="inlineStr">
        <is>
          <t>No</t>
        </is>
      </c>
      <c r="J103" s="2" t="inlineStr">
        <is>
          <t>—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—</t>
        </is>
      </c>
      <c r="O103" s="2" t="inlineStr">
        <is>
          <t>—</t>
        </is>
      </c>
      <c r="P103" s="2" t="inlineStr">
        <is>
          <t>—</t>
        </is>
      </c>
      <c r="Q103" s="2" t="inlineStr">
        <is>
          <t>—</t>
        </is>
      </c>
      <c r="R103" s="2" t="inlineStr">
        <is>
          <t>—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—</t>
        </is>
      </c>
      <c r="V103" s="2" t="inlineStr">
        <is>
          <t>—</t>
        </is>
      </c>
      <c r="W103" s="2" t="inlineStr">
        <is>
          <t>—</t>
        </is>
      </c>
      <c r="X103" s="2" t="inlineStr">
        <is>
          <t>Monograph on ML methods in asset pricing and their economic restrictions.</t>
        </is>
      </c>
      <c r="Y103" s="2" t="inlineStr">
        <is>
          <t>—</t>
        </is>
      </c>
      <c r="Z103" s="2" t="inlineStr">
        <is>
          <t>—</t>
        </is>
      </c>
      <c r="AA103" s="2" t="inlineStr">
        <is>
          <t>—</t>
        </is>
      </c>
      <c r="AB103" s="2" t="inlineStr">
        <is>
          <t>—</t>
        </is>
      </c>
      <c r="AC103" s="2" t="inlineStr">
        <is>
          <t>—</t>
        </is>
      </c>
      <c r="AD103" s="3" t="n">
        <v>3</v>
      </c>
      <c r="AE103" s="2" t="inlineStr">
        <is>
          <t>Background monograph.</t>
        </is>
      </c>
      <c r="AF103" s="2" t="inlineStr">
        <is>
          <t>Book (no DOI recorded)</t>
        </is>
      </c>
    </row>
    <row r="104">
      <c r="A104" s="2" t="inlineStr">
        <is>
          <t>AZ2020</t>
        </is>
      </c>
      <c r="B104" s="2" t="inlineStr">
        <is>
          <t>Visualizing the Effects of Predictor Variables in Black Box Supervised Learning Models</t>
        </is>
      </c>
      <c r="C104" s="2" t="inlineStr">
        <is>
          <t>Apley, D.W.; Zhu, J.</t>
        </is>
      </c>
      <c r="D104" s="3" t="n">
        <v>2020</v>
      </c>
      <c r="E104" s="2" t="inlineStr">
        <is>
          <t>Journal of the Royal Statistical Society Series B 82(4):1059-1086</t>
        </is>
      </c>
      <c r="F104" s="2" t="inlineStr">
        <is>
          <t>Econometrics general</t>
        </is>
      </c>
      <c r="G104" s="4" t="inlineStr">
        <is>
          <t>https://doi.org/10.1111/rssb.12377</t>
        </is>
      </c>
      <c r="H104" s="2" t="inlineStr">
        <is>
          <t>ML methods</t>
        </is>
      </c>
      <c r="I104" s="3" t="inlineStr">
        <is>
          <t>No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" t="inlineStr">
        <is>
          <t>—</t>
        </is>
      </c>
      <c r="R104" s="2" t="inlineStr">
        <is>
          <t>—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—</t>
        </is>
      </c>
      <c r="V104" s="2" t="inlineStr">
        <is>
          <t>—</t>
        </is>
      </c>
      <c r="W104" s="2" t="inlineStr">
        <is>
          <t>—</t>
        </is>
      </c>
      <c r="X104" s="2" t="inlineStr">
        <is>
          <t>Accumulated local effects plots robust to correlated predictors.</t>
        </is>
      </c>
      <c r="Y104" s="2" t="inlineStr">
        <is>
          <t>—</t>
        </is>
      </c>
      <c r="Z104" s="2" t="inlineStr">
        <is>
          <t>—</t>
        </is>
      </c>
      <c r="AA104" s="2" t="inlineStr">
        <is>
          <t>—</t>
        </is>
      </c>
      <c r="AB104" s="2" t="inlineStr">
        <is>
          <t>—</t>
        </is>
      </c>
      <c r="AC104" s="2" t="inlineStr">
        <is>
          <t>—</t>
        </is>
      </c>
      <c r="AD104" s="3" t="n">
        <v>3</v>
      </c>
      <c r="AE104" s="2" t="inlineStr">
        <is>
          <t>Preferred over PDP with correlated signals.</t>
        </is>
      </c>
      <c r="AF104" s="2" t="inlineStr">
        <is>
          <t>Crossref match (title, author, year, journal)</t>
        </is>
      </c>
    </row>
    <row r="105">
      <c r="A105" s="2" t="inlineStr">
        <is>
          <t>COWY2020</t>
        </is>
      </c>
      <c r="B105" s="2" t="inlineStr">
        <is>
          <t>On the Performance of Volatility-Managed Portfolios</t>
        </is>
      </c>
      <c r="C105" s="2" t="inlineStr">
        <is>
          <t>Cederburg, S.; O'Doherty, M.S.; Wang, F.; Yan, X.S.</t>
        </is>
      </c>
      <c r="D105" s="3" t="n">
        <v>2020</v>
      </c>
      <c r="E105" s="2" t="inlineStr">
        <is>
          <t>Journal of Financial Economics 138(1):95-117</t>
        </is>
      </c>
      <c r="F105" s="2" t="inlineStr">
        <is>
          <t>T1 General Finance</t>
        </is>
      </c>
      <c r="G105" s="4" t="inlineStr">
        <is>
          <t>https://doi.org/10.1016/j.jfineco.2020.04.015</t>
        </is>
      </c>
      <c r="H105" s="2" t="inlineStr">
        <is>
          <t>Factor timing &amp; regimes</t>
        </is>
      </c>
      <c r="I105" s="3" t="inlineStr">
        <is>
          <t>No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—</t>
        </is>
      </c>
      <c r="O105" s="2" t="inlineStr">
        <is>
          <t>—</t>
        </is>
      </c>
      <c r="P105" s="2" t="inlineStr">
        <is>
          <t>—</t>
        </is>
      </c>
      <c r="Q105" s="2" t="inlineStr">
        <is>
          <t>—</t>
        </is>
      </c>
      <c r="R105" s="2" t="inlineStr">
        <is>
          <t>—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—</t>
        </is>
      </c>
      <c r="V105" s="2" t="inlineStr">
        <is>
          <t>—</t>
        </is>
      </c>
      <c r="W105" s="2" t="inlineStr">
        <is>
          <t>—</t>
        </is>
      </c>
      <c r="X105" s="2" t="inlineStr">
        <is>
          <t>Volatility-managed strategies generally fail to beat unmanaged versions in real-time out-of-sample tests.</t>
        </is>
      </c>
      <c r="Y105" s="2" t="inlineStr">
        <is>
          <t>—</t>
        </is>
      </c>
      <c r="Z105" s="2" t="inlineStr">
        <is>
          <t>—</t>
        </is>
      </c>
      <c r="AA105" s="2" t="inlineStr">
        <is>
          <t>—</t>
        </is>
      </c>
      <c r="AB105" s="2" t="inlineStr">
        <is>
          <t>—</t>
        </is>
      </c>
      <c r="AC105" s="2" t="inlineStr">
        <is>
          <t>—</t>
        </is>
      </c>
      <c r="AD105" s="3" t="n">
        <v>3</v>
      </c>
      <c r="AE105" s="2" t="inlineStr">
        <is>
          <t>Caution against in-sample conditioning gains.</t>
        </is>
      </c>
      <c r="AF105" s="2" t="inlineStr">
        <is>
          <t>Crossref match (title, author, year, journal)</t>
        </is>
      </c>
    </row>
    <row r="106">
      <c r="A106" s="2" t="inlineStr">
        <is>
          <t>FGX2020</t>
        </is>
      </c>
      <c r="B106" s="2" t="inlineStr">
        <is>
          <t>Taming the Factor Zoo: A Test of New Factors</t>
        </is>
      </c>
      <c r="C106" s="2" t="inlineStr">
        <is>
          <t>Feng, G.; Giglio, S.; Xiu, D.</t>
        </is>
      </c>
      <c r="D106" s="3" t="n">
        <v>2020</v>
      </c>
      <c r="E106" s="2" t="inlineStr">
        <is>
          <t>Journal of Finance 75(3):1327-1370</t>
        </is>
      </c>
      <c r="F106" s="2" t="inlineStr">
        <is>
          <t>T1 General Finance</t>
        </is>
      </c>
      <c r="G106" s="4" t="inlineStr">
        <is>
          <t>https://doi.org/10.1111/jofi.12883</t>
        </is>
      </c>
      <c r="H106" s="2" t="inlineStr">
        <is>
          <t>Replication &amp; multiple testing</t>
        </is>
      </c>
      <c r="I106" s="3" t="inlineStr">
        <is>
          <t>No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—</t>
        </is>
      </c>
      <c r="O106" s="2" t="inlineStr">
        <is>
          <t>—</t>
        </is>
      </c>
      <c r="P106" s="2" t="inlineStr">
        <is>
          <t>—</t>
        </is>
      </c>
      <c r="Q106" s="2" t="inlineStr">
        <is>
          <t>—</t>
        </is>
      </c>
      <c r="R106" s="2" t="inlineStr">
        <is>
          <t>—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—</t>
        </is>
      </c>
      <c r="V106" s="2" t="inlineStr">
        <is>
          <t>—</t>
        </is>
      </c>
      <c r="W106" s="2" t="inlineStr">
        <is>
          <t>—</t>
        </is>
      </c>
      <c r="X106" s="2" t="inlineStr">
        <is>
          <t>Double-selection LASSO evaluates a new factor's marginal contribution given a high-dimensional set of existing factors.</t>
        </is>
      </c>
      <c r="Y106" s="2" t="inlineStr">
        <is>
          <t>—</t>
        </is>
      </c>
      <c r="Z106" s="2" t="inlineStr">
        <is>
          <t>—</t>
        </is>
      </c>
      <c r="AA106" s="2" t="inlineStr">
        <is>
          <t>—</t>
        </is>
      </c>
      <c r="AB106" s="2" t="inlineStr">
        <is>
          <t>—</t>
        </is>
      </c>
      <c r="AC106" s="2" t="inlineStr">
        <is>
          <t>—</t>
        </is>
      </c>
      <c r="AD106" s="3" t="n">
        <v>3</v>
      </c>
      <c r="AE106" s="2" t="inlineStr">
        <is>
          <t>Incremental-value testing for new signals.</t>
        </is>
      </c>
      <c r="AF106" s="2" t="inlineStr">
        <is>
          <t>Crossref match (title, author, year, journal)</t>
        </is>
      </c>
    </row>
    <row r="107">
      <c r="A107" s="2" t="inlineStr">
        <is>
          <t>PW2020</t>
        </is>
      </c>
      <c r="B107" s="2" t="inlineStr">
        <is>
          <t>What You See Is Not What You Get: The Costs of Trading Market Anomalies</t>
        </is>
      </c>
      <c r="C107" s="2" t="inlineStr">
        <is>
          <t>Patton, A.J.; Weller, B.M.</t>
        </is>
      </c>
      <c r="D107" s="3" t="n">
        <v>2020</v>
      </c>
      <c r="E107" s="2" t="inlineStr">
        <is>
          <t>Journal of Financial Economics 137(2):515-549</t>
        </is>
      </c>
      <c r="F107" s="2" t="inlineStr">
        <is>
          <t>T1 General Finance</t>
        </is>
      </c>
      <c r="G107" s="4" t="inlineStr">
        <is>
          <t>https://doi.org/10.1016/j.jfineco.2020.02.012</t>
        </is>
      </c>
      <c r="H107" s="2" t="inlineStr">
        <is>
          <t>TC &amp; implementability</t>
        </is>
      </c>
      <c r="I107" s="3" t="inlineStr">
        <is>
          <t>No</t>
        </is>
      </c>
      <c r="J107" s="2" t="inlineStr">
        <is>
          <t>—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—</t>
        </is>
      </c>
      <c r="Q107" s="2" t="inlineStr">
        <is>
          <t>—</t>
        </is>
      </c>
      <c r="R107" s="2" t="inlineStr">
        <is>
          <t>—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—</t>
        </is>
      </c>
      <c r="V107" s="2" t="inlineStr">
        <is>
          <t>—</t>
        </is>
      </c>
      <c r="W107" s="2" t="inlineStr">
        <is>
          <t>—</t>
        </is>
      </c>
      <c r="X107" s="2" t="inlineStr">
        <is>
          <t>Infers implementation costs of anomalies from real-world fund returns relative to paper portfolios [verify magnitudes].</t>
        </is>
      </c>
      <c r="Y107" s="2" t="inlineStr">
        <is>
          <t>—</t>
        </is>
      </c>
      <c r="Z107" s="2" t="inlineStr">
        <is>
          <t>—</t>
        </is>
      </c>
      <c r="AA107" s="2" t="inlineStr">
        <is>
          <t>—</t>
        </is>
      </c>
      <c r="AB107" s="2" t="inlineStr">
        <is>
          <t>—</t>
        </is>
      </c>
      <c r="AC107" s="2" t="inlineStr">
        <is>
          <t>—</t>
        </is>
      </c>
      <c r="AD107" s="3" t="n">
        <v>3</v>
      </c>
      <c r="AE107" s="2" t="inlineStr">
        <is>
          <t>Cost-calibration cross-check.</t>
        </is>
      </c>
      <c r="AF107" s="2" t="inlineStr">
        <is>
          <t>Crossref match (title, author, year, journal)</t>
        </is>
      </c>
    </row>
    <row r="108">
      <c r="A108" s="2" t="inlineStr">
        <is>
          <t>AAB2019</t>
        </is>
      </c>
      <c r="B108" s="2" t="inlineStr">
        <is>
          <t>Differentiable Convex Optimization Layers</t>
        </is>
      </c>
      <c r="C108" s="2" t="inlineStr">
        <is>
          <t>Agrawal, A.; Amos, B.; Barratt, S.; Boyd, S.; Diamond, S.; Kolter, J.Z.</t>
        </is>
      </c>
      <c r="D108" s="3" t="n">
        <v>2019</v>
      </c>
      <c r="E108" s="2" t="inlineStr">
        <is>
          <t>Advances in Neural Information Processing Systems 32</t>
        </is>
      </c>
      <c r="F108" s="2" t="inlineStr">
        <is>
          <t>ML venue</t>
        </is>
      </c>
      <c r="G108" s="2" t="inlineStr"/>
      <c r="H108" s="2" t="inlineStr">
        <is>
          <t>End-to-end / decision-focused</t>
        </is>
      </c>
      <c r="I108" s="3" t="inlineStr">
        <is>
          <t>No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" t="inlineStr">
        <is>
          <t>—</t>
        </is>
      </c>
      <c r="R108" s="2" t="inlineStr">
        <is>
          <t>—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—</t>
        </is>
      </c>
      <c r="V108" s="2" t="inlineStr">
        <is>
          <t>—</t>
        </is>
      </c>
      <c r="W108" s="2" t="inlineStr">
        <is>
          <t>—</t>
        </is>
      </c>
      <c r="X108" s="2" t="inlineStr">
        <is>
          <t>cvxpylayers: differentiate through disciplined convex programs.</t>
        </is>
      </c>
      <c r="Y108" s="2" t="inlineStr">
        <is>
          <t>—</t>
        </is>
      </c>
      <c r="Z108" s="2" t="inlineStr">
        <is>
          <t>—</t>
        </is>
      </c>
      <c r="AA108" s="2" t="inlineStr">
        <is>
          <t>—</t>
        </is>
      </c>
      <c r="AB108" s="2" t="inlineStr">
        <is>
          <t>—</t>
        </is>
      </c>
      <c r="AC108" s="2" t="inlineStr">
        <is>
          <t>—</t>
        </is>
      </c>
      <c r="AD108" s="3" t="n">
        <v>3</v>
      </c>
      <c r="AE108" s="2" t="inlineStr">
        <is>
          <t>Tooling for cost-aware differentiable optimiser. [DOI not in Crossref]</t>
        </is>
      </c>
      <c r="AF108" s="2" t="inlineStr">
        <is>
          <t>Conference/ML venue (not in Crossref or not matched)</t>
        </is>
      </c>
    </row>
    <row r="109">
      <c r="A109" s="2" t="inlineStr">
        <is>
          <t>KPS2019</t>
        </is>
      </c>
      <c r="B109" s="2" t="inlineStr">
        <is>
          <t>Characteristics Are Covariances: A Unified Model of Risk and Return</t>
        </is>
      </c>
      <c r="C109" s="2" t="inlineStr">
        <is>
          <t>Kelly, B.; Pruitt, S.; Su, Y.</t>
        </is>
      </c>
      <c r="D109" s="3" t="n">
        <v>2019</v>
      </c>
      <c r="E109" s="2" t="inlineStr">
        <is>
          <t>Journal of Financial Economics 134(3):501-524</t>
        </is>
      </c>
      <c r="F109" s="2" t="inlineStr">
        <is>
          <t>T1 General Finance</t>
        </is>
      </c>
      <c r="G109" s="4" t="inlineStr">
        <is>
          <t>https://doi.org/10.1016/j.jfineco.2019.05.001</t>
        </is>
      </c>
      <c r="H109" s="2" t="inlineStr">
        <is>
          <t>ML asset pricing</t>
        </is>
      </c>
      <c r="I109" s="3" t="inlineStr">
        <is>
          <t>No</t>
        </is>
      </c>
      <c r="J109" s="2" t="inlineStr">
        <is>
          <t>—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—</t>
        </is>
      </c>
      <c r="Q109" s="2" t="inlineStr">
        <is>
          <t>—</t>
        </is>
      </c>
      <c r="R109" s="2" t="inlineStr">
        <is>
          <t>—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—</t>
        </is>
      </c>
      <c r="V109" s="2" t="inlineStr">
        <is>
          <t>—</t>
        </is>
      </c>
      <c r="W109" s="2" t="inlineStr">
        <is>
          <t>—</t>
        </is>
      </c>
      <c r="X109" s="2" t="inlineStr">
        <is>
          <t>IPCA: characteristics instrument time-varying loadings; separates risk compensation from an anomaly intercept.</t>
        </is>
      </c>
      <c r="Y109" s="2" t="inlineStr">
        <is>
          <t>—</t>
        </is>
      </c>
      <c r="Z109" s="2" t="inlineStr">
        <is>
          <t>—</t>
        </is>
      </c>
      <c r="AA109" s="2" t="inlineStr">
        <is>
          <t>—</t>
        </is>
      </c>
      <c r="AB109" s="2" t="inlineStr">
        <is>
          <t>—</t>
        </is>
      </c>
      <c r="AC109" s="2" t="inlineStr">
        <is>
          <t>—</t>
        </is>
      </c>
      <c r="AD109" s="3" t="n">
        <v>3</v>
      </c>
      <c r="AE109" s="2" t="inlineStr">
        <is>
          <t>Risk-based benchmark and risk-model candidate.</t>
        </is>
      </c>
      <c r="AF109" s="2" t="inlineStr">
        <is>
          <t>DOI from publisher page/search; Crossref-confirmed</t>
        </is>
      </c>
    </row>
    <row r="110">
      <c r="A110" s="2" t="inlineStr">
        <is>
          <t>NMV2019</t>
        </is>
      </c>
      <c r="B110" s="2" t="inlineStr">
        <is>
          <t>Comparing Cost-Mitigation Techniques</t>
        </is>
      </c>
      <c r="C110" s="2" t="inlineStr">
        <is>
          <t>Novy-Marx, R.; Velikov, M.</t>
        </is>
      </c>
      <c r="D110" s="3" t="n">
        <v>2019</v>
      </c>
      <c r="E110" s="2" t="inlineStr">
        <is>
          <t>Financial Analysts Journal 75(1):85-102</t>
        </is>
      </c>
      <c r="F110" s="2" t="inlineStr">
        <is>
          <t>T3 Practitioner</t>
        </is>
      </c>
      <c r="G110" s="4" t="inlineStr">
        <is>
          <t>https://doi.org/10.1080/0015198x.2018.1547057</t>
        </is>
      </c>
      <c r="H110" s="2" t="inlineStr">
        <is>
          <t>TC &amp; implementability</t>
        </is>
      </c>
      <c r="I110" s="3" t="inlineStr">
        <is>
          <t>No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" t="inlineStr">
        <is>
          <t>—</t>
        </is>
      </c>
      <c r="R110" s="2" t="inlineStr">
        <is>
          <t>—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—</t>
        </is>
      </c>
      <c r="V110" s="2" t="inlineStr">
        <is>
          <t>—</t>
        </is>
      </c>
      <c r="W110" s="2" t="inlineStr">
        <is>
          <t>—</t>
        </is>
      </c>
      <c r="X110" s="2" t="inlineStr">
        <is>
          <t>Compares banding, staggering, and other cost-mitigation methods.</t>
        </is>
      </c>
      <c r="Y110" s="2" t="inlineStr">
        <is>
          <t>—</t>
        </is>
      </c>
      <c r="Z110" s="2" t="inlineStr">
        <is>
          <t>—</t>
        </is>
      </c>
      <c r="AA110" s="2" t="inlineStr">
        <is>
          <t>—</t>
        </is>
      </c>
      <c r="AB110" s="2" t="inlineStr">
        <is>
          <t>—</t>
        </is>
      </c>
      <c r="AC110" s="2" t="inlineStr">
        <is>
          <t>—</t>
        </is>
      </c>
      <c r="AD110" s="3" t="n">
        <v>3</v>
      </c>
      <c r="AE110" s="2" t="inlineStr">
        <is>
          <t>Heuristic mitigation benchmarks.</t>
        </is>
      </c>
      <c r="AF110" s="2" t="inlineStr">
        <is>
          <t>Crossref match (title, author, year, journal)</t>
        </is>
      </c>
    </row>
    <row r="111">
      <c r="A111" s="2" t="inlineStr">
        <is>
          <t>NML2018</t>
        </is>
      </c>
      <c r="B111" s="2" t="inlineStr">
        <is>
          <t>Dynamic Portfolio Optimization across Hidden Market Regimes</t>
        </is>
      </c>
      <c r="C111" s="2" t="inlineStr">
        <is>
          <t>Nystrup, P.; Madsen, H.; Lindstrom, E.</t>
        </is>
      </c>
      <c r="D111" s="3" t="n">
        <v>2018</v>
      </c>
      <c r="E111" s="2" t="inlineStr">
        <is>
          <t>Quantitative Finance 18(1):83-95</t>
        </is>
      </c>
      <c r="F111" s="2" t="inlineStr">
        <is>
          <t>T2 Quant/Field</t>
        </is>
      </c>
      <c r="G111" s="4" t="inlineStr">
        <is>
          <t>https://doi.org/10.1080/14697688.2017.1342857</t>
        </is>
      </c>
      <c r="H111" s="2" t="inlineStr">
        <is>
          <t>Factor timing &amp; regimes</t>
        </is>
      </c>
      <c r="I111" s="3" t="inlineStr">
        <is>
          <t>No</t>
        </is>
      </c>
      <c r="J111" s="2" t="inlineStr">
        <is>
          <t>—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—</t>
        </is>
      </c>
      <c r="Q111" s="2" t="inlineStr">
        <is>
          <t>—</t>
        </is>
      </c>
      <c r="R111" s="2" t="inlineStr">
        <is>
          <t>—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—</t>
        </is>
      </c>
      <c r="V111" s="2" t="inlineStr">
        <is>
          <t>—</t>
        </is>
      </c>
      <c r="W111" s="2" t="inlineStr">
        <is>
          <t>—</t>
        </is>
      </c>
      <c r="X111" s="2" t="inlineStr">
        <is>
          <t>HMM regime inference combined with model predictive control improves dynamic allocation.</t>
        </is>
      </c>
      <c r="Y111" s="2" t="inlineStr">
        <is>
          <t>—</t>
        </is>
      </c>
      <c r="Z111" s="2" t="inlineStr">
        <is>
          <t>—</t>
        </is>
      </c>
      <c r="AA111" s="2" t="inlineStr">
        <is>
          <t>—</t>
        </is>
      </c>
      <c r="AB111" s="2" t="inlineStr">
        <is>
          <t>—</t>
        </is>
      </c>
      <c r="AC111" s="2" t="inlineStr">
        <is>
          <t>—</t>
        </is>
      </c>
      <c r="AD111" s="3" t="n">
        <v>3</v>
      </c>
      <c r="AE111" s="2" t="inlineStr">
        <is>
          <t>Regime + MPC template. [verify details]</t>
        </is>
      </c>
      <c r="AF111" s="2" t="inlineStr">
        <is>
          <t>Crossref match (title, author, year, journal)</t>
        </is>
      </c>
    </row>
    <row r="112">
      <c r="A112" s="2" t="inlineStr">
        <is>
          <t>AK2017</t>
        </is>
      </c>
      <c r="B112" s="2" t="inlineStr">
        <is>
          <t>OptNet: Differentiable Optimization as a Layer in Neural Networks</t>
        </is>
      </c>
      <c r="C112" s="2" t="inlineStr">
        <is>
          <t>Amos, B.; Kolter, J.Z.</t>
        </is>
      </c>
      <c r="D112" s="3" t="n">
        <v>2017</v>
      </c>
      <c r="E112" s="2" t="inlineStr">
        <is>
          <t>Proceedings of ICML 2017 (PMLR 70)</t>
        </is>
      </c>
      <c r="F112" s="2" t="inlineStr">
        <is>
          <t>ML venue</t>
        </is>
      </c>
      <c r="G112" s="2" t="inlineStr"/>
      <c r="H112" s="2" t="inlineStr">
        <is>
          <t>End-to-end / decision-focused</t>
        </is>
      </c>
      <c r="I112" s="3" t="inlineStr">
        <is>
          <t>No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" t="inlineStr">
        <is>
          <t>—</t>
        </is>
      </c>
      <c r="R112" s="2" t="inlineStr">
        <is>
          <t>—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—</t>
        </is>
      </c>
      <c r="V112" s="2" t="inlineStr">
        <is>
          <t>—</t>
        </is>
      </c>
      <c r="W112" s="2" t="inlineStr">
        <is>
          <t>—</t>
        </is>
      </c>
      <c r="X112" s="2" t="inlineStr">
        <is>
          <t>Differentiable quadratic-programming layers.</t>
        </is>
      </c>
      <c r="Y112" s="2" t="inlineStr">
        <is>
          <t>—</t>
        </is>
      </c>
      <c r="Z112" s="2" t="inlineStr">
        <is>
          <t>—</t>
        </is>
      </c>
      <c r="AA112" s="2" t="inlineStr">
        <is>
          <t>—</t>
        </is>
      </c>
      <c r="AB112" s="2" t="inlineStr">
        <is>
          <t>—</t>
        </is>
      </c>
      <c r="AC112" s="2" t="inlineStr">
        <is>
          <t>—</t>
        </is>
      </c>
      <c r="AD112" s="3" t="n">
        <v>3</v>
      </c>
      <c r="AE112" s="2" t="inlineStr">
        <is>
          <t>Implementation of differentiable optimiser. [DOI not in Crossref]</t>
        </is>
      </c>
      <c r="AF112" s="2" t="inlineStr">
        <is>
          <t>Conference/ML venue (not in Crossref or not matched)</t>
        </is>
      </c>
    </row>
    <row r="113">
      <c r="A113" s="2" t="inlineStr">
        <is>
          <t>AR2017</t>
        </is>
      </c>
      <c r="B113" s="2" t="inlineStr">
        <is>
          <t>A Simple Estimation of Bid-Ask Spreads from Daily Close, High, and Low Prices</t>
        </is>
      </c>
      <c r="C113" s="2" t="inlineStr">
        <is>
          <t>Abdi, F.; Ranaldo, A.</t>
        </is>
      </c>
      <c r="D113" s="3" t="n">
        <v>2017</v>
      </c>
      <c r="E113" s="2" t="inlineStr">
        <is>
          <t>Review of Financial Studies 30(12):4437-4480</t>
        </is>
      </c>
      <c r="F113" s="2" t="inlineStr">
        <is>
          <t>T1 General Finance</t>
        </is>
      </c>
      <c r="G113" s="4" t="inlineStr">
        <is>
          <t>https://doi.org/10.1093/rfs/hhx084</t>
        </is>
      </c>
      <c r="H113" s="2" t="inlineStr">
        <is>
          <t>TC &amp; implementability</t>
        </is>
      </c>
      <c r="I113" s="3" t="inlineStr">
        <is>
          <t>No</t>
        </is>
      </c>
      <c r="J113" s="2" t="inlineStr">
        <is>
          <t>—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—</t>
        </is>
      </c>
      <c r="O113" s="2" t="inlineStr">
        <is>
          <t>—</t>
        </is>
      </c>
      <c r="P113" s="2" t="inlineStr">
        <is>
          <t>—</t>
        </is>
      </c>
      <c r="Q113" s="2" t="inlineStr">
        <is>
          <t>—</t>
        </is>
      </c>
      <c r="R113" s="2" t="inlineStr">
        <is>
          <t>—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—</t>
        </is>
      </c>
      <c r="V113" s="2" t="inlineStr">
        <is>
          <t>—</t>
        </is>
      </c>
      <c r="W113" s="2" t="inlineStr">
        <is>
          <t>—</t>
        </is>
      </c>
      <c r="X113" s="2" t="inlineStr">
        <is>
          <t>Close-high-low estimator with high correlation to TAQ effective spreads.</t>
        </is>
      </c>
      <c r="Y113" s="2" t="inlineStr">
        <is>
          <t>—</t>
        </is>
      </c>
      <c r="Z113" s="2" t="inlineStr">
        <is>
          <t>—</t>
        </is>
      </c>
      <c r="AA113" s="2" t="inlineStr">
        <is>
          <t>—</t>
        </is>
      </c>
      <c r="AB113" s="2" t="inlineStr">
        <is>
          <t>—</t>
        </is>
      </c>
      <c r="AC113" s="2" t="inlineStr">
        <is>
          <t>—</t>
        </is>
      </c>
      <c r="AD113" s="3" t="n">
        <v>3</v>
      </c>
      <c r="AE113" s="2" t="inlineStr">
        <is>
          <t>Low-frequency spread estimator.</t>
        </is>
      </c>
      <c r="AF113" s="2" t="inlineStr">
        <is>
          <t>Crossref match (title, author, year, journal)</t>
        </is>
      </c>
    </row>
    <row r="114">
      <c r="A114" s="2" t="inlineStr">
        <is>
          <t>DAK2017</t>
        </is>
      </c>
      <c r="B114" s="2" t="inlineStr">
        <is>
          <t>Task-based End-to-end Model Learning in Stochastic Optimization</t>
        </is>
      </c>
      <c r="C114" s="2" t="inlineStr">
        <is>
          <t>Donti, P.L.; Amos, B.; Kolter, J.Z.</t>
        </is>
      </c>
      <c r="D114" s="3" t="n">
        <v>2017</v>
      </c>
      <c r="E114" s="2" t="inlineStr">
        <is>
          <t>Advances in Neural Information Processing Systems 30</t>
        </is>
      </c>
      <c r="F114" s="2" t="inlineStr">
        <is>
          <t>ML venue</t>
        </is>
      </c>
      <c r="G114" s="2" t="inlineStr"/>
      <c r="H114" s="2" t="inlineStr">
        <is>
          <t>End-to-end / decision-focused</t>
        </is>
      </c>
      <c r="I114" s="3" t="inlineStr">
        <is>
          <t>No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" t="inlineStr">
        <is>
          <t>—</t>
        </is>
      </c>
      <c r="R114" s="2" t="inlineStr">
        <is>
          <t>—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—</t>
        </is>
      </c>
      <c r="V114" s="2" t="inlineStr">
        <is>
          <t>—</t>
        </is>
      </c>
      <c r="W114" s="2" t="inlineStr">
        <is>
          <t>—</t>
        </is>
      </c>
      <c r="X114" s="2" t="inlineStr">
        <is>
          <t>Learn probabilistic models by differentiating through the downstream optimisation task.</t>
        </is>
      </c>
      <c r="Y114" s="2" t="inlineStr">
        <is>
          <t>—</t>
        </is>
      </c>
      <c r="Z114" s="2" t="inlineStr">
        <is>
          <t>—</t>
        </is>
      </c>
      <c r="AA114" s="2" t="inlineStr">
        <is>
          <t>—</t>
        </is>
      </c>
      <c r="AB114" s="2" t="inlineStr">
        <is>
          <t>—</t>
        </is>
      </c>
      <c r="AC114" s="2" t="inlineStr">
        <is>
          <t>—</t>
        </is>
      </c>
      <c r="AD114" s="3" t="n">
        <v>3</v>
      </c>
      <c r="AE114" s="2" t="inlineStr">
        <is>
          <t>End-to-end foundation. [DOI not in Crossref]</t>
        </is>
      </c>
      <c r="AF114" s="2" t="inlineStr">
        <is>
          <t>Conference/ML venue (not in Crossref or not matched)</t>
        </is>
      </c>
    </row>
    <row r="115">
      <c r="A115" s="2" t="inlineStr">
        <is>
          <t>GHZ2017</t>
        </is>
      </c>
      <c r="B115" s="2" t="inlineStr">
        <is>
          <t>The Characteristics that Provide Independent Information about Average U.S. Monthly Stock Returns</t>
        </is>
      </c>
      <c r="C115" s="2" t="inlineStr">
        <is>
          <t>Green, J.; Hand, J.R.M.; Zhang, X.F.</t>
        </is>
      </c>
      <c r="D115" s="3" t="n">
        <v>2017</v>
      </c>
      <c r="E115" s="2" t="inlineStr">
        <is>
          <t>Review of Financial Studies 30(12):4389-4436</t>
        </is>
      </c>
      <c r="F115" s="2" t="inlineStr">
        <is>
          <t>T1 General Finance</t>
        </is>
      </c>
      <c r="G115" s="4" t="inlineStr">
        <is>
          <t>https://doi.org/10.1093/rfs/hhx019</t>
        </is>
      </c>
      <c r="H115" s="2" t="inlineStr">
        <is>
          <t>Replication &amp; multiple testing</t>
        </is>
      </c>
      <c r="I115" s="3" t="inlineStr">
        <is>
          <t>No</t>
        </is>
      </c>
      <c r="J115" s="2" t="inlineStr">
        <is>
          <t>—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—</t>
        </is>
      </c>
      <c r="O115" s="2" t="inlineStr">
        <is>
          <t>—</t>
        </is>
      </c>
      <c r="P115" s="2" t="inlineStr">
        <is>
          <t>—</t>
        </is>
      </c>
      <c r="Q115" s="2" t="inlineStr">
        <is>
          <t>—</t>
        </is>
      </c>
      <c r="R115" s="2" t="inlineStr">
        <is>
          <t>—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—</t>
        </is>
      </c>
      <c r="V115" s="2" t="inlineStr">
        <is>
          <t>—</t>
        </is>
      </c>
      <c r="W115" s="2" t="inlineStr">
        <is>
          <t>—</t>
        </is>
      </c>
      <c r="X115" s="2" t="inlineStr">
        <is>
          <t>Few characteristics provide independent information in multivariate FM regressions, and fewer after 2003.</t>
        </is>
      </c>
      <c r="Y115" s="2" t="inlineStr">
        <is>
          <t>—</t>
        </is>
      </c>
      <c r="Z115" s="2" t="inlineStr">
        <is>
          <t>—</t>
        </is>
      </c>
      <c r="AA115" s="2" t="inlineStr">
        <is>
          <t>—</t>
        </is>
      </c>
      <c r="AB115" s="2" t="inlineStr">
        <is>
          <t>—</t>
        </is>
      </c>
      <c r="AC115" s="2" t="inlineStr">
        <is>
          <t>—</t>
        </is>
      </c>
      <c r="AD115" s="3" t="n">
        <v>3</v>
      </c>
      <c r="AE115" s="2" t="inlineStr">
        <is>
          <t>Redundancy and post-2003 decay evidence.</t>
        </is>
      </c>
      <c r="AF115" s="2" t="inlineStr">
        <is>
          <t>Crossref match (title, author, year, journal)</t>
        </is>
      </c>
    </row>
    <row r="116">
      <c r="A116" s="2" t="inlineStr">
        <is>
          <t>KE2017</t>
        </is>
      </c>
      <c r="B116" s="2" t="inlineStr">
        <is>
          <t>LightGBM: A Highly Efficient Gradient Boosting Decision Tree</t>
        </is>
      </c>
      <c r="C116" s="2" t="inlineStr">
        <is>
          <t>Ke, G.; et al.</t>
        </is>
      </c>
      <c r="D116" s="3" t="n">
        <v>2017</v>
      </c>
      <c r="E116" s="2" t="inlineStr">
        <is>
          <t>Advances in Neural Information Processing Systems 30</t>
        </is>
      </c>
      <c r="F116" s="2" t="inlineStr">
        <is>
          <t>ML venue</t>
        </is>
      </c>
      <c r="G116" s="2" t="inlineStr"/>
      <c r="H116" s="2" t="inlineStr">
        <is>
          <t>ML methods</t>
        </is>
      </c>
      <c r="I116" s="3" t="inlineStr">
        <is>
          <t>No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" t="inlineStr">
        <is>
          <t>—</t>
        </is>
      </c>
      <c r="R116" s="2" t="inlineStr">
        <is>
          <t>—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—</t>
        </is>
      </c>
      <c r="V116" s="2" t="inlineStr">
        <is>
          <t>—</t>
        </is>
      </c>
      <c r="W116" s="2" t="inlineStr">
        <is>
          <t>—</t>
        </is>
      </c>
      <c r="X116" s="2" t="inlineStr">
        <is>
          <t>Histogram-based efficient GBDT.</t>
        </is>
      </c>
      <c r="Y116" s="2" t="inlineStr">
        <is>
          <t>—</t>
        </is>
      </c>
      <c r="Z116" s="2" t="inlineStr">
        <is>
          <t>—</t>
        </is>
      </c>
      <c r="AA116" s="2" t="inlineStr">
        <is>
          <t>—</t>
        </is>
      </c>
      <c r="AB116" s="2" t="inlineStr">
        <is>
          <t>—</t>
        </is>
      </c>
      <c r="AC116" s="2" t="inlineStr">
        <is>
          <t>—</t>
        </is>
      </c>
      <c r="AD116" s="3" t="n">
        <v>3</v>
      </c>
      <c r="AE116" s="2" t="inlineStr">
        <is>
          <t>Primary GBDT implementation.</t>
        </is>
      </c>
      <c r="AF116" s="2" t="inlineStr">
        <is>
          <t>Conference/ML venue (not in Crossref or not matched)</t>
        </is>
      </c>
    </row>
    <row r="117">
      <c r="A117" s="2" t="inlineStr">
        <is>
          <t>LMR2017</t>
        </is>
      </c>
      <c r="B117" s="2" t="inlineStr">
        <is>
          <t>Aggregation of Information About the Cross Section of Stock Returns: A Latent Variable Approach</t>
        </is>
      </c>
      <c r="C117" s="2" t="inlineStr">
        <is>
          <t>Light, N.; Maslov, D.; Rytchkov, O.</t>
        </is>
      </c>
      <c r="D117" s="3" t="n">
        <v>2017</v>
      </c>
      <c r="E117" s="2" t="inlineStr">
        <is>
          <t>Review of Financial Studies 30(4):1339-1381</t>
        </is>
      </c>
      <c r="F117" s="2" t="inlineStr">
        <is>
          <t>T1 General Finance</t>
        </is>
      </c>
      <c r="G117" s="4" t="inlineStr">
        <is>
          <t>https://doi.org/10.1093/rfs/hhw102</t>
        </is>
      </c>
      <c r="H117" s="2" t="inlineStr">
        <is>
          <t>ML asset pricing</t>
        </is>
      </c>
      <c r="I117" s="3" t="inlineStr">
        <is>
          <t>No</t>
        </is>
      </c>
      <c r="J117" s="2" t="inlineStr">
        <is>
          <t>—</t>
        </is>
      </c>
      <c r="K117" s="2" t="inlineStr">
        <is>
          <t>—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—</t>
        </is>
      </c>
      <c r="O117" s="2" t="inlineStr">
        <is>
          <t>—</t>
        </is>
      </c>
      <c r="P117" s="2" t="inlineStr">
        <is>
          <t>—</t>
        </is>
      </c>
      <c r="Q117" s="2" t="inlineStr">
        <is>
          <t>—</t>
        </is>
      </c>
      <c r="R117" s="2" t="inlineStr">
        <is>
          <t>—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—</t>
        </is>
      </c>
      <c r="V117" s="2" t="inlineStr">
        <is>
          <t>—</t>
        </is>
      </c>
      <c r="W117" s="2" t="inlineStr">
        <is>
          <t>—</t>
        </is>
      </c>
      <c r="X117" s="2" t="inlineStr">
        <is>
          <t>Latent-variable (PLS-type) aggregation of many characteristics into expected-return estimates.</t>
        </is>
      </c>
      <c r="Y117" s="2" t="inlineStr">
        <is>
          <t>—</t>
        </is>
      </c>
      <c r="Z117" s="2" t="inlineStr">
        <is>
          <t>—</t>
        </is>
      </c>
      <c r="AA117" s="2" t="inlineStr">
        <is>
          <t>—</t>
        </is>
      </c>
      <c r="AB117" s="2" t="inlineStr">
        <is>
          <t>—</t>
        </is>
      </c>
      <c r="AC117" s="2" t="inlineStr">
        <is>
          <t>—</t>
        </is>
      </c>
      <c r="AD117" s="3" t="n">
        <v>3</v>
      </c>
      <c r="AE117" s="2" t="inlineStr">
        <is>
          <t>Linear aggregation benchmark.</t>
        </is>
      </c>
      <c r="AF117" s="2" t="inlineStr">
        <is>
          <t>Crossref match (title, author, year, journal)</t>
        </is>
      </c>
    </row>
    <row r="118">
      <c r="A118" s="2" t="inlineStr">
        <is>
          <t>MM2017</t>
        </is>
      </c>
      <c r="B118" s="2" t="inlineStr">
        <is>
          <t>Volatility-Managed Portfolios</t>
        </is>
      </c>
      <c r="C118" s="2" t="inlineStr">
        <is>
          <t>Moreira, A.; Muir, T.</t>
        </is>
      </c>
      <c r="D118" s="3" t="n">
        <v>2017</v>
      </c>
      <c r="E118" s="2" t="inlineStr">
        <is>
          <t>Journal of Finance 72(4):1611-1644</t>
        </is>
      </c>
      <c r="F118" s="2" t="inlineStr">
        <is>
          <t>T1 General Finance</t>
        </is>
      </c>
      <c r="G118" s="4" t="inlineStr">
        <is>
          <t>https://doi.org/10.1111/jofi.12513</t>
        </is>
      </c>
      <c r="H118" s="2" t="inlineStr">
        <is>
          <t>Factor timing &amp; regimes</t>
        </is>
      </c>
      <c r="I118" s="3" t="inlineStr">
        <is>
          <t>No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" t="inlineStr">
        <is>
          <t>—</t>
        </is>
      </c>
      <c r="R118" s="2" t="inlineStr">
        <is>
          <t>—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—</t>
        </is>
      </c>
      <c r="V118" s="2" t="inlineStr">
        <is>
          <t>—</t>
        </is>
      </c>
      <c r="W118" s="2" t="inlineStr">
        <is>
          <t>—</t>
        </is>
      </c>
      <c r="X118" s="2" t="inlineStr">
        <is>
          <t>Scaling factors by inverse variance increases Sharpe ratios and alphas.</t>
        </is>
      </c>
      <c r="Y118" s="2" t="inlineStr">
        <is>
          <t>—</t>
        </is>
      </c>
      <c r="Z118" s="2" t="inlineStr">
        <is>
          <t>—</t>
        </is>
      </c>
      <c r="AA118" s="2" t="inlineStr">
        <is>
          <t>—</t>
        </is>
      </c>
      <c r="AB118" s="2" t="inlineStr">
        <is>
          <t>—</t>
        </is>
      </c>
      <c r="AC118" s="2" t="inlineStr">
        <is>
          <t>—</t>
        </is>
      </c>
      <c r="AD118" s="3" t="n">
        <v>3</v>
      </c>
      <c r="AE118" s="2" t="inlineStr">
        <is>
          <t>Conditioning benchmark.</t>
        </is>
      </c>
      <c r="AF118" s="2" t="inlineStr">
        <is>
          <t>Crossref match (title, author, year, journal)</t>
        </is>
      </c>
    </row>
    <row r="119">
      <c r="A119" s="2" t="inlineStr">
        <is>
          <t>CG2016</t>
        </is>
      </c>
      <c r="B119" s="2" t="inlineStr">
        <is>
          <t>XGBoost: A Scalable Tree Boosting System</t>
        </is>
      </c>
      <c r="C119" s="2" t="inlineStr">
        <is>
          <t>Chen, T.; Guestrin, C.</t>
        </is>
      </c>
      <c r="D119" s="3" t="n">
        <v>2016</v>
      </c>
      <c r="E119" s="2" t="inlineStr">
        <is>
          <t>Proceedings of ACM SIGKDD 2016</t>
        </is>
      </c>
      <c r="F119" s="2" t="inlineStr">
        <is>
          <t>ML venue</t>
        </is>
      </c>
      <c r="G119" s="2" t="inlineStr"/>
      <c r="H119" s="2" t="inlineStr">
        <is>
          <t>ML methods</t>
        </is>
      </c>
      <c r="I119" s="3" t="inlineStr">
        <is>
          <t>No</t>
        </is>
      </c>
      <c r="J119" s="2" t="inlineStr">
        <is>
          <t>—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—</t>
        </is>
      </c>
      <c r="O119" s="2" t="inlineStr">
        <is>
          <t>—</t>
        </is>
      </c>
      <c r="P119" s="2" t="inlineStr">
        <is>
          <t>—</t>
        </is>
      </c>
      <c r="Q119" s="2" t="inlineStr">
        <is>
          <t>—</t>
        </is>
      </c>
      <c r="R119" s="2" t="inlineStr">
        <is>
          <t>—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—</t>
        </is>
      </c>
      <c r="V119" s="2" t="inlineStr">
        <is>
          <t>—</t>
        </is>
      </c>
      <c r="W119" s="2" t="inlineStr">
        <is>
          <t>—</t>
        </is>
      </c>
      <c r="X119" s="2" t="inlineStr">
        <is>
          <t>Scalable regularised gradient boosting.</t>
        </is>
      </c>
      <c r="Y119" s="2" t="inlineStr">
        <is>
          <t>—</t>
        </is>
      </c>
      <c r="Z119" s="2" t="inlineStr">
        <is>
          <t>—</t>
        </is>
      </c>
      <c r="AA119" s="2" t="inlineStr">
        <is>
          <t>—</t>
        </is>
      </c>
      <c r="AB119" s="2" t="inlineStr">
        <is>
          <t>—</t>
        </is>
      </c>
      <c r="AC119" s="2" t="inlineStr">
        <is>
          <t>—</t>
        </is>
      </c>
      <c r="AD119" s="3" t="n">
        <v>3</v>
      </c>
      <c r="AE119" s="2" t="inlineStr">
        <is>
          <t>GBDT implementation.</t>
        </is>
      </c>
      <c r="AF119" s="2" t="inlineStr">
        <is>
          <t>Conference/ML venue (not in Crossref or not matched)</t>
        </is>
      </c>
    </row>
    <row r="120">
      <c r="A120" s="2" t="inlineStr">
        <is>
          <t>GG2016</t>
        </is>
      </c>
      <c r="B120" s="2" t="inlineStr">
        <is>
          <t>Dropout as a Bayesian Approximation: Representing Model Uncertainty in Deep Learning</t>
        </is>
      </c>
      <c r="C120" s="2" t="inlineStr">
        <is>
          <t>Gal, Y.; Ghahramani, Z.</t>
        </is>
      </c>
      <c r="D120" s="3" t="n">
        <v>2016</v>
      </c>
      <c r="E120" s="2" t="inlineStr">
        <is>
          <t>Proceedings of ICML 2016 (PMLR 48)</t>
        </is>
      </c>
      <c r="F120" s="2" t="inlineStr">
        <is>
          <t>ML venue</t>
        </is>
      </c>
      <c r="G120" s="2" t="inlineStr"/>
      <c r="H120" s="2" t="inlineStr">
        <is>
          <t>ML methods</t>
        </is>
      </c>
      <c r="I120" s="3" t="inlineStr">
        <is>
          <t>No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" t="inlineStr">
        <is>
          <t>—</t>
        </is>
      </c>
      <c r="R120" s="2" t="inlineStr">
        <is>
          <t>—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—</t>
        </is>
      </c>
      <c r="V120" s="2" t="inlineStr">
        <is>
          <t>—</t>
        </is>
      </c>
      <c r="W120" s="2" t="inlineStr">
        <is>
          <t>—</t>
        </is>
      </c>
      <c r="X120" s="2" t="inlineStr">
        <is>
          <t>MC dropout approximates Bayesian uncertainty.</t>
        </is>
      </c>
      <c r="Y120" s="2" t="inlineStr">
        <is>
          <t>—</t>
        </is>
      </c>
      <c r="Z120" s="2" t="inlineStr">
        <is>
          <t>—</t>
        </is>
      </c>
      <c r="AA120" s="2" t="inlineStr">
        <is>
          <t>—</t>
        </is>
      </c>
      <c r="AB120" s="2" t="inlineStr">
        <is>
          <t>—</t>
        </is>
      </c>
      <c r="AC120" s="2" t="inlineStr">
        <is>
          <t>—</t>
        </is>
      </c>
      <c r="AD120" s="3" t="n">
        <v>3</v>
      </c>
      <c r="AE120" s="2" t="inlineStr">
        <is>
          <t>Uncertainty estimator alternative.</t>
        </is>
      </c>
      <c r="AF120" s="2" t="inlineStr">
        <is>
          <t>Conference/ML venue (not in Crossref or not matched)</t>
        </is>
      </c>
    </row>
    <row r="121">
      <c r="A121" s="2" t="inlineStr">
        <is>
          <t>KYO2016</t>
        </is>
      </c>
      <c r="B121" s="2" t="inlineStr">
        <is>
          <t>Market Microstructure Invariance: Empirical Hypotheses</t>
        </is>
      </c>
      <c r="C121" s="2" t="inlineStr">
        <is>
          <t>Kyle, A.S.; Obizhaeva, A.A.</t>
        </is>
      </c>
      <c r="D121" s="3" t="n">
        <v>2016</v>
      </c>
      <c r="E121" s="2" t="inlineStr">
        <is>
          <t>Econometrica 84(4):1345-1404</t>
        </is>
      </c>
      <c r="F121" s="2" t="inlineStr">
        <is>
          <t>Econometrics general</t>
        </is>
      </c>
      <c r="G121" s="4" t="inlineStr">
        <is>
          <t>https://doi.org/10.3982/ecta10486</t>
        </is>
      </c>
      <c r="H121" s="2" t="inlineStr">
        <is>
          <t>TC &amp; implementability</t>
        </is>
      </c>
      <c r="I121" s="3" t="inlineStr">
        <is>
          <t>No</t>
        </is>
      </c>
      <c r="J121" s="2" t="inlineStr">
        <is>
          <t>—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—</t>
        </is>
      </c>
      <c r="O121" s="2" t="inlineStr">
        <is>
          <t>—</t>
        </is>
      </c>
      <c r="P121" s="2" t="inlineStr">
        <is>
          <t>—</t>
        </is>
      </c>
      <c r="Q121" s="2" t="inlineStr">
        <is>
          <t>—</t>
        </is>
      </c>
      <c r="R121" s="2" t="inlineStr">
        <is>
          <t>—</t>
        </is>
      </c>
      <c r="S121" s="2" t="inlineStr">
        <is>
          <t>—</t>
        </is>
      </c>
      <c r="T121" s="2" t="inlineStr">
        <is>
          <t>—</t>
        </is>
      </c>
      <c r="U121" s="2" t="inlineStr">
        <is>
          <t>—</t>
        </is>
      </c>
      <c r="V121" s="2" t="inlineStr">
        <is>
          <t>—</t>
        </is>
      </c>
      <c r="W121" s="2" t="inlineStr">
        <is>
          <t>—</t>
        </is>
      </c>
      <c r="X121" s="2" t="inlineStr">
        <is>
          <t>Invariance hypotheses imply scaling laws for bet sizes and transaction costs.</t>
        </is>
      </c>
      <c r="Y121" s="2" t="inlineStr">
        <is>
          <t>—</t>
        </is>
      </c>
      <c r="Z121" s="2" t="inlineStr">
        <is>
          <t>—</t>
        </is>
      </c>
      <c r="AA121" s="2" t="inlineStr">
        <is>
          <t>—</t>
        </is>
      </c>
      <c r="AB121" s="2" t="inlineStr">
        <is>
          <t>—</t>
        </is>
      </c>
      <c r="AC121" s="2" t="inlineStr">
        <is>
          <t>—</t>
        </is>
      </c>
      <c r="AD121" s="3" t="n">
        <v>3</v>
      </c>
      <c r="AE121" s="2" t="inlineStr">
        <is>
          <t>Market-impact functional form.</t>
        </is>
      </c>
      <c r="AF121" s="2" t="inlineStr">
        <is>
          <t>Crossref match (title, author, year, journal)</t>
        </is>
      </c>
    </row>
    <row r="122">
      <c r="A122" s="2" t="inlineStr">
        <is>
          <t>LDP2016</t>
        </is>
      </c>
      <c r="B122" s="2" t="inlineStr">
        <is>
          <t>Building Diversified Portfolios that Outperform Out of Sample</t>
        </is>
      </c>
      <c r="C122" s="2" t="inlineStr">
        <is>
          <t>Lopez de Prado, M.</t>
        </is>
      </c>
      <c r="D122" s="3" t="n">
        <v>2016</v>
      </c>
      <c r="E122" s="2" t="inlineStr">
        <is>
          <t>Journal of Portfolio Management 42(4):59-69</t>
        </is>
      </c>
      <c r="F122" s="2" t="inlineStr">
        <is>
          <t>T3 Practitioner</t>
        </is>
      </c>
      <c r="G122" s="4" t="inlineStr">
        <is>
          <t>https://doi.org/10.3905/jpm.2016.42.4.059</t>
        </is>
      </c>
      <c r="H122" s="2" t="inlineStr">
        <is>
          <t>Portfolio construction</t>
        </is>
      </c>
      <c r="I122" s="3" t="inlineStr">
        <is>
          <t>No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" t="inlineStr">
        <is>
          <t>—</t>
        </is>
      </c>
      <c r="R122" s="2" t="inlineStr">
        <is>
          <t>—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—</t>
        </is>
      </c>
      <c r="V122" s="2" t="inlineStr">
        <is>
          <t>—</t>
        </is>
      </c>
      <c r="W122" s="2" t="inlineStr">
        <is>
          <t>—</t>
        </is>
      </c>
      <c r="X122" s="2" t="inlineStr">
        <is>
          <t>Hierarchical Risk Parity avoids covariance inversion instability.</t>
        </is>
      </c>
      <c r="Y122" s="2" t="inlineStr">
        <is>
          <t>—</t>
        </is>
      </c>
      <c r="Z122" s="2" t="inlineStr">
        <is>
          <t>—</t>
        </is>
      </c>
      <c r="AA122" s="2" t="inlineStr">
        <is>
          <t>—</t>
        </is>
      </c>
      <c r="AB122" s="2" t="inlineStr">
        <is>
          <t>—</t>
        </is>
      </c>
      <c r="AC122" s="2" t="inlineStr">
        <is>
          <t>—</t>
        </is>
      </c>
      <c r="AD122" s="3" t="n">
        <v>3</v>
      </c>
      <c r="AE122" s="2" t="inlineStr">
        <is>
          <t>Hierarchical benchmark.</t>
        </is>
      </c>
      <c r="AF122" s="2" t="inlineStr">
        <is>
          <t>DOI from publisher page/search; Crossref-confirmed</t>
        </is>
      </c>
    </row>
    <row r="123">
      <c r="A123" s="2" t="inlineStr">
        <is>
          <t>BSC2015</t>
        </is>
      </c>
      <c r="B123" s="2" t="inlineStr">
        <is>
          <t>Momentum Has Its Moments</t>
        </is>
      </c>
      <c r="C123" s="2" t="inlineStr">
        <is>
          <t>Barroso, P.; Santa-Clara, P.</t>
        </is>
      </c>
      <c r="D123" s="3" t="n">
        <v>2015</v>
      </c>
      <c r="E123" s="2" t="inlineStr">
        <is>
          <t>Journal of Financial Economics 116(1):111-120</t>
        </is>
      </c>
      <c r="F123" s="2" t="inlineStr">
        <is>
          <t>T1 General Finance</t>
        </is>
      </c>
      <c r="G123" s="4" t="inlineStr">
        <is>
          <t>https://doi.org/10.1016/j.jfineco.2014.11.010</t>
        </is>
      </c>
      <c r="H123" s="2" t="inlineStr">
        <is>
          <t>Factor timing &amp; regimes</t>
        </is>
      </c>
      <c r="I123" s="3" t="inlineStr">
        <is>
          <t>No</t>
        </is>
      </c>
      <c r="J123" s="2" t="inlineStr">
        <is>
          <t>—</t>
        </is>
      </c>
      <c r="K123" s="2" t="inlineStr">
        <is>
          <t>—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—</t>
        </is>
      </c>
      <c r="O123" s="2" t="inlineStr">
        <is>
          <t>—</t>
        </is>
      </c>
      <c r="P123" s="2" t="inlineStr">
        <is>
          <t>—</t>
        </is>
      </c>
      <c r="Q123" s="2" t="inlineStr">
        <is>
          <t>—</t>
        </is>
      </c>
      <c r="R123" s="2" t="inlineStr">
        <is>
          <t>—</t>
        </is>
      </c>
      <c r="S123" s="2" t="inlineStr">
        <is>
          <t>—</t>
        </is>
      </c>
      <c r="T123" s="2" t="inlineStr">
        <is>
          <t>—</t>
        </is>
      </c>
      <c r="U123" s="2" t="inlineStr">
        <is>
          <t>—</t>
        </is>
      </c>
      <c r="V123" s="2" t="inlineStr">
        <is>
          <t>—</t>
        </is>
      </c>
      <c r="W123" s="2" t="inlineStr">
        <is>
          <t>—</t>
        </is>
      </c>
      <c r="X123" s="2" t="inlineStr">
        <is>
          <t>Scaling momentum by its own realised variance nearly eliminates crashes.</t>
        </is>
      </c>
      <c r="Y123" s="2" t="inlineStr">
        <is>
          <t>—</t>
        </is>
      </c>
      <c r="Z123" s="2" t="inlineStr">
        <is>
          <t>—</t>
        </is>
      </c>
      <c r="AA123" s="2" t="inlineStr">
        <is>
          <t>—</t>
        </is>
      </c>
      <c r="AB123" s="2" t="inlineStr">
        <is>
          <t>—</t>
        </is>
      </c>
      <c r="AC123" s="2" t="inlineStr">
        <is>
          <t>—</t>
        </is>
      </c>
      <c r="AD123" s="3" t="n">
        <v>3</v>
      </c>
      <c r="AE123" s="2" t="inlineStr">
        <is>
          <t>Volatility-scaling benchmark.</t>
        </is>
      </c>
      <c r="AF123" s="2" t="inlineStr">
        <is>
          <t>Crossref match (title, author, year, journal)</t>
        </is>
      </c>
    </row>
    <row r="124">
      <c r="A124" s="2" t="inlineStr">
        <is>
          <t>FF2015</t>
        </is>
      </c>
      <c r="B124" s="2" t="inlineStr">
        <is>
          <t>A Five-Factor Asset Pricing Model</t>
        </is>
      </c>
      <c r="C124" s="2" t="inlineStr">
        <is>
          <t>Fama, E.F.; French, K.R.</t>
        </is>
      </c>
      <c r="D124" s="3" t="n">
        <v>2015</v>
      </c>
      <c r="E124" s="2" t="inlineStr">
        <is>
          <t>Journal of Financial Economics 116(1):1-22</t>
        </is>
      </c>
      <c r="F124" s="2" t="inlineStr">
        <is>
          <t>T1 General Finance</t>
        </is>
      </c>
      <c r="G124" s="4" t="inlineStr">
        <is>
          <t>https://doi.org/10.1016/j.jfineco.2014.10.010</t>
        </is>
      </c>
      <c r="H124" s="2" t="inlineStr">
        <is>
          <t>Data &amp; measurement</t>
        </is>
      </c>
      <c r="I124" s="3" t="inlineStr">
        <is>
          <t>No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" t="inlineStr">
        <is>
          <t>—</t>
        </is>
      </c>
      <c r="R124" s="2" t="inlineStr">
        <is>
          <t>—</t>
        </is>
      </c>
      <c r="S124" s="2" t="inlineStr">
        <is>
          <t>—</t>
        </is>
      </c>
      <c r="T124" s="2" t="inlineStr">
        <is>
          <t>—</t>
        </is>
      </c>
      <c r="U124" s="2" t="inlineStr">
        <is>
          <t>—</t>
        </is>
      </c>
      <c r="V124" s="2" t="inlineStr">
        <is>
          <t>—</t>
        </is>
      </c>
      <c r="W124" s="2" t="inlineStr">
        <is>
          <t>—</t>
        </is>
      </c>
      <c r="X124" s="2" t="inlineStr">
        <is>
          <t>Five-factor model adds profitability and investment.</t>
        </is>
      </c>
      <c r="Y124" s="2" t="inlineStr">
        <is>
          <t>—</t>
        </is>
      </c>
      <c r="Z124" s="2" t="inlineStr">
        <is>
          <t>—</t>
        </is>
      </c>
      <c r="AA124" s="2" t="inlineStr">
        <is>
          <t>—</t>
        </is>
      </c>
      <c r="AB124" s="2" t="inlineStr">
        <is>
          <t>—</t>
        </is>
      </c>
      <c r="AC124" s="2" t="inlineStr">
        <is>
          <t>—</t>
        </is>
      </c>
      <c r="AD124" s="3" t="n">
        <v>3</v>
      </c>
      <c r="AE124" s="2" t="inlineStr">
        <is>
          <t>Alpha benchmark.</t>
        </is>
      </c>
      <c r="AF124" s="2" t="inlineStr">
        <is>
          <t>Crossref match (title, author, year, journal)</t>
        </is>
      </c>
    </row>
    <row r="125">
      <c r="A125" s="2" t="inlineStr">
        <is>
          <t>HXZ2015</t>
        </is>
      </c>
      <c r="B125" s="2" t="inlineStr">
        <is>
          <t>Digesting Anomalies: An Investment Approach</t>
        </is>
      </c>
      <c r="C125" s="2" t="inlineStr">
        <is>
          <t>Hou, K.; Xue, C.; Zhang, L.</t>
        </is>
      </c>
      <c r="D125" s="3" t="n">
        <v>2015</v>
      </c>
      <c r="E125" s="2" t="inlineStr">
        <is>
          <t>Review of Financial Studies 28(3):650-705</t>
        </is>
      </c>
      <c r="F125" s="2" t="inlineStr">
        <is>
          <t>T1 General Finance</t>
        </is>
      </c>
      <c r="G125" s="4" t="inlineStr">
        <is>
          <t>https://doi.org/10.1093/rfs/hhu068</t>
        </is>
      </c>
      <c r="H125" s="2" t="inlineStr">
        <is>
          <t>Data &amp; measurement</t>
        </is>
      </c>
      <c r="I125" s="3" t="inlineStr">
        <is>
          <t>No</t>
        </is>
      </c>
      <c r="J125" s="2" t="inlineStr">
        <is>
          <t>—</t>
        </is>
      </c>
      <c r="K125" s="2" t="inlineStr">
        <is>
          <t>—</t>
        </is>
      </c>
      <c r="L125" s="2" t="inlineStr">
        <is>
          <t>—</t>
        </is>
      </c>
      <c r="M125" s="2" t="inlineStr">
        <is>
          <t>—</t>
        </is>
      </c>
      <c r="N125" s="2" t="inlineStr">
        <is>
          <t>—</t>
        </is>
      </c>
      <c r="O125" s="2" t="inlineStr">
        <is>
          <t>—</t>
        </is>
      </c>
      <c r="P125" s="2" t="inlineStr">
        <is>
          <t>—</t>
        </is>
      </c>
      <c r="Q125" s="2" t="inlineStr">
        <is>
          <t>—</t>
        </is>
      </c>
      <c r="R125" s="2" t="inlineStr">
        <is>
          <t>—</t>
        </is>
      </c>
      <c r="S125" s="2" t="inlineStr">
        <is>
          <t>—</t>
        </is>
      </c>
      <c r="T125" s="2" t="inlineStr">
        <is>
          <t>—</t>
        </is>
      </c>
      <c r="U125" s="2" t="inlineStr">
        <is>
          <t>—</t>
        </is>
      </c>
      <c r="V125" s="2" t="inlineStr">
        <is>
          <t>—</t>
        </is>
      </c>
      <c r="W125" s="2" t="inlineStr">
        <is>
          <t>—</t>
        </is>
      </c>
      <c r="X125" s="2" t="inlineStr">
        <is>
          <t>q-factor model.</t>
        </is>
      </c>
      <c r="Y125" s="2" t="inlineStr">
        <is>
          <t>—</t>
        </is>
      </c>
      <c r="Z125" s="2" t="inlineStr">
        <is>
          <t>—</t>
        </is>
      </c>
      <c r="AA125" s="2" t="inlineStr">
        <is>
          <t>—</t>
        </is>
      </c>
      <c r="AB125" s="2" t="inlineStr">
        <is>
          <t>—</t>
        </is>
      </c>
      <c r="AC125" s="2" t="inlineStr">
        <is>
          <t>—</t>
        </is>
      </c>
      <c r="AD125" s="3" t="n">
        <v>3</v>
      </c>
      <c r="AE125" s="2" t="inlineStr">
        <is>
          <t>Alpha benchmark.</t>
        </is>
      </c>
      <c r="AF125" s="2" t="inlineStr">
        <is>
          <t>Crossref match (title, author, year, journal)</t>
        </is>
      </c>
    </row>
    <row r="126">
      <c r="A126" s="2" t="inlineStr">
        <is>
          <t>CST2014</t>
        </is>
      </c>
      <c r="B126" s="2" t="inlineStr">
        <is>
          <t>Have Capital Market Anomalies Attenuated in the Recent Era of High Liquidity and Trading Activity?</t>
        </is>
      </c>
      <c r="C126" s="2" t="inlineStr">
        <is>
          <t>Chordia, T.; Subrahmanyam, A.; Tong, Q.</t>
        </is>
      </c>
      <c r="D126" s="3" t="n">
        <v>2014</v>
      </c>
      <c r="E126" s="2" t="inlineStr">
        <is>
          <t>Journal of Accounting and Economics 58(1):41-58</t>
        </is>
      </c>
      <c r="F126" s="2" t="inlineStr">
        <is>
          <t>T2 Quant/Field</t>
        </is>
      </c>
      <c r="G126" s="4" t="inlineStr">
        <is>
          <t>https://doi.org/10.1016/j.jacceco.2014.06.001</t>
        </is>
      </c>
      <c r="H126" s="2" t="inlineStr">
        <is>
          <t>TC &amp; implementability</t>
        </is>
      </c>
      <c r="I126" s="3" t="inlineStr">
        <is>
          <t>No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" t="inlineStr">
        <is>
          <t>—</t>
        </is>
      </c>
      <c r="R126" s="2" t="inlineStr">
        <is>
          <t>—</t>
        </is>
      </c>
      <c r="S126" s="2" t="inlineStr">
        <is>
          <t>—</t>
        </is>
      </c>
      <c r="T126" s="2" t="inlineStr">
        <is>
          <t>—</t>
        </is>
      </c>
      <c r="U126" s="2" t="inlineStr">
        <is>
          <t>—</t>
        </is>
      </c>
      <c r="V126" s="2" t="inlineStr">
        <is>
          <t>—</t>
        </is>
      </c>
      <c r="W126" s="2" t="inlineStr">
        <is>
          <t>—</t>
        </is>
      </c>
      <c r="X126" s="2" t="inlineStr">
        <is>
          <t>Anomaly returns attenuated in the post-decimalization high-liquidity era.</t>
        </is>
      </c>
      <c r="Y126" s="2" t="inlineStr">
        <is>
          <t>—</t>
        </is>
      </c>
      <c r="Z126" s="2" t="inlineStr">
        <is>
          <t>—</t>
        </is>
      </c>
      <c r="AA126" s="2" t="inlineStr">
        <is>
          <t>—</t>
        </is>
      </c>
      <c r="AB126" s="2" t="inlineStr">
        <is>
          <t>—</t>
        </is>
      </c>
      <c r="AC126" s="2" t="inlineStr">
        <is>
          <t>—</t>
        </is>
      </c>
      <c r="AD126" s="3" t="n">
        <v>3</v>
      </c>
      <c r="AE126" s="2" t="inlineStr">
        <is>
          <t>Subperiod split rationale.</t>
        </is>
      </c>
      <c r="AF126" s="2" t="inlineStr">
        <is>
          <t>Crossref match (title, author, year, journal)</t>
        </is>
      </c>
    </row>
    <row r="127">
      <c r="A127" s="2" t="inlineStr">
        <is>
          <t>AT2012</t>
        </is>
      </c>
      <c r="B127" s="2" t="inlineStr">
        <is>
          <t>Regime Changes and Financial Markets</t>
        </is>
      </c>
      <c r="C127" s="2" t="inlineStr">
        <is>
          <t>Ang, A.; Timmermann, A.</t>
        </is>
      </c>
      <c r="D127" s="3" t="n">
        <v>2012</v>
      </c>
      <c r="E127" s="2" t="inlineStr">
        <is>
          <t>Annual Review of Financial Economics 4:313-337</t>
        </is>
      </c>
      <c r="F127" s="2" t="inlineStr">
        <is>
          <t>Survey</t>
        </is>
      </c>
      <c r="G127" s="4" t="inlineStr">
        <is>
          <t>https://doi.org/10.1146/annurev-financial-110311-101808</t>
        </is>
      </c>
      <c r="H127" s="2" t="inlineStr">
        <is>
          <t>Factor timing &amp; regimes</t>
        </is>
      </c>
      <c r="I127" s="3" t="inlineStr">
        <is>
          <t>No</t>
        </is>
      </c>
      <c r="J127" s="2" t="inlineStr">
        <is>
          <t>—</t>
        </is>
      </c>
      <c r="K127" s="2" t="inlineStr">
        <is>
          <t>—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—</t>
        </is>
      </c>
      <c r="O127" s="2" t="inlineStr">
        <is>
          <t>—</t>
        </is>
      </c>
      <c r="P127" s="2" t="inlineStr">
        <is>
          <t>—</t>
        </is>
      </c>
      <c r="Q127" s="2" t="inlineStr">
        <is>
          <t>—</t>
        </is>
      </c>
      <c r="R127" s="2" t="inlineStr">
        <is>
          <t>—</t>
        </is>
      </c>
      <c r="S127" s="2" t="inlineStr">
        <is>
          <t>—</t>
        </is>
      </c>
      <c r="T127" s="2" t="inlineStr">
        <is>
          <t>—</t>
        </is>
      </c>
      <c r="U127" s="2" t="inlineStr">
        <is>
          <t>—</t>
        </is>
      </c>
      <c r="V127" s="2" t="inlineStr">
        <is>
          <t>—</t>
        </is>
      </c>
      <c r="W127" s="2" t="inlineStr">
        <is>
          <t>—</t>
        </is>
      </c>
      <c r="X127" s="2" t="inlineStr">
        <is>
          <t>Survey of regime-switching models in finance.</t>
        </is>
      </c>
      <c r="Y127" s="2" t="inlineStr">
        <is>
          <t>—</t>
        </is>
      </c>
      <c r="Z127" s="2" t="inlineStr">
        <is>
          <t>—</t>
        </is>
      </c>
      <c r="AA127" s="2" t="inlineStr">
        <is>
          <t>—</t>
        </is>
      </c>
      <c r="AB127" s="2" t="inlineStr">
        <is>
          <t>—</t>
        </is>
      </c>
      <c r="AC127" s="2" t="inlineStr">
        <is>
          <t>—</t>
        </is>
      </c>
      <c r="AD127" s="3" t="n">
        <v>3</v>
      </c>
      <c r="AE127" s="2" t="inlineStr">
        <is>
          <t>Regime background.</t>
        </is>
      </c>
      <c r="AF127" s="2" t="inlineStr">
        <is>
          <t>Crossref match (title, author, year, journal)</t>
        </is>
      </c>
    </row>
    <row r="128">
      <c r="A128" s="2" t="inlineStr">
        <is>
          <t>CS2012</t>
        </is>
      </c>
      <c r="B128" s="2" t="inlineStr">
        <is>
          <t>A Simple Way to Estimate Bid-Ask Spreads from Daily High and Low Prices</t>
        </is>
      </c>
      <c r="C128" s="2" t="inlineStr">
        <is>
          <t>Corwin, S.A.; Schultz, P.</t>
        </is>
      </c>
      <c r="D128" s="3" t="n">
        <v>2012</v>
      </c>
      <c r="E128" s="2" t="inlineStr">
        <is>
          <t>Journal of Finance 67(2):719-760</t>
        </is>
      </c>
      <c r="F128" s="2" t="inlineStr">
        <is>
          <t>T1 General Finance</t>
        </is>
      </c>
      <c r="G128" s="4" t="inlineStr">
        <is>
          <t>https://doi.org/10.1111/j.1540-6261.2012.01729.x</t>
        </is>
      </c>
      <c r="H128" s="2" t="inlineStr">
        <is>
          <t>TC &amp; implementability</t>
        </is>
      </c>
      <c r="I128" s="3" t="inlineStr">
        <is>
          <t>No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" t="inlineStr">
        <is>
          <t>—</t>
        </is>
      </c>
      <c r="R128" s="2" t="inlineStr">
        <is>
          <t>—</t>
        </is>
      </c>
      <c r="S128" s="2" t="inlineStr">
        <is>
          <t>—</t>
        </is>
      </c>
      <c r="T128" s="2" t="inlineStr">
        <is>
          <t>—</t>
        </is>
      </c>
      <c r="U128" s="2" t="inlineStr">
        <is>
          <t>—</t>
        </is>
      </c>
      <c r="V128" s="2" t="inlineStr">
        <is>
          <t>—</t>
        </is>
      </c>
      <c r="W128" s="2" t="inlineStr">
        <is>
          <t>—</t>
        </is>
      </c>
      <c r="X128" s="2" t="inlineStr">
        <is>
          <t>High-low spread estimator.</t>
        </is>
      </c>
      <c r="Y128" s="2" t="inlineStr">
        <is>
          <t>—</t>
        </is>
      </c>
      <c r="Z128" s="2" t="inlineStr">
        <is>
          <t>—</t>
        </is>
      </c>
      <c r="AA128" s="2" t="inlineStr">
        <is>
          <t>—</t>
        </is>
      </c>
      <c r="AB128" s="2" t="inlineStr">
        <is>
          <t>—</t>
        </is>
      </c>
      <c r="AC128" s="2" t="inlineStr">
        <is>
          <t>—</t>
        </is>
      </c>
      <c r="AD128" s="3" t="n">
        <v>3</v>
      </c>
      <c r="AE128" s="2" t="inlineStr">
        <is>
          <t>Low-frequency spread estimator.</t>
        </is>
      </c>
      <c r="AF128" s="2" t="inlineStr">
        <is>
          <t>DOI from publisher page/search; Crossref-confirmed</t>
        </is>
      </c>
    </row>
    <row r="129">
      <c r="A129" s="2" t="inlineStr">
        <is>
          <t>KO2012</t>
        </is>
      </c>
      <c r="B129" s="2" t="inlineStr">
        <is>
          <t>It's All in the Timing: Simple Active Portfolio Strategies that Outperform Naive Diversification</t>
        </is>
      </c>
      <c r="C129" s="2" t="inlineStr">
        <is>
          <t>Kirby, C.; Ostdiek, B.</t>
        </is>
      </c>
      <c r="D129" s="3" t="n">
        <v>2012</v>
      </c>
      <c r="E129" s="2" t="inlineStr">
        <is>
          <t>Journal of Financial and Quantitative Analysis 47(2):437-467</t>
        </is>
      </c>
      <c r="F129" s="2" t="inlineStr">
        <is>
          <t>T1b Finance/OR</t>
        </is>
      </c>
      <c r="G129" s="4" t="inlineStr">
        <is>
          <t>https://doi.org/10.1017/s0022109012000117</t>
        </is>
      </c>
      <c r="H129" s="2" t="inlineStr">
        <is>
          <t>Portfolio construction</t>
        </is>
      </c>
      <c r="I129" s="3" t="inlineStr">
        <is>
          <t>No</t>
        </is>
      </c>
      <c r="J129" s="2" t="inlineStr">
        <is>
          <t>—</t>
        </is>
      </c>
      <c r="K129" s="2" t="inlineStr">
        <is>
          <t>—</t>
        </is>
      </c>
      <c r="L129" s="2" t="inlineStr">
        <is>
          <t>—</t>
        </is>
      </c>
      <c r="M129" s="2" t="inlineStr">
        <is>
          <t>—</t>
        </is>
      </c>
      <c r="N129" s="2" t="inlineStr">
        <is>
          <t>—</t>
        </is>
      </c>
      <c r="O129" s="2" t="inlineStr">
        <is>
          <t>—</t>
        </is>
      </c>
      <c r="P129" s="2" t="inlineStr">
        <is>
          <t>—</t>
        </is>
      </c>
      <c r="Q129" s="2" t="inlineStr">
        <is>
          <t>—</t>
        </is>
      </c>
      <c r="R129" s="2" t="inlineStr">
        <is>
          <t>—</t>
        </is>
      </c>
      <c r="S129" s="2" t="inlineStr">
        <is>
          <t>—</t>
        </is>
      </c>
      <c r="T129" s="2" t="inlineStr">
        <is>
          <t>—</t>
        </is>
      </c>
      <c r="U129" s="2" t="inlineStr">
        <is>
          <t>—</t>
        </is>
      </c>
      <c r="V129" s="2" t="inlineStr">
        <is>
          <t>—</t>
        </is>
      </c>
      <c r="W129" s="2" t="inlineStr">
        <is>
          <t>—</t>
        </is>
      </c>
      <c r="X129" s="2" t="inlineStr">
        <is>
          <t>Volatility-timing and reward-to-risk timing beat 1/N with low turnover, net of costs.</t>
        </is>
      </c>
      <c r="Y129" s="2" t="inlineStr">
        <is>
          <t>—</t>
        </is>
      </c>
      <c r="Z129" s="2" t="inlineStr">
        <is>
          <t>—</t>
        </is>
      </c>
      <c r="AA129" s="2" t="inlineStr">
        <is>
          <t>—</t>
        </is>
      </c>
      <c r="AB129" s="2" t="inlineStr">
        <is>
          <t>—</t>
        </is>
      </c>
      <c r="AC129" s="2" t="inlineStr">
        <is>
          <t>—</t>
        </is>
      </c>
      <c r="AD129" s="3" t="n">
        <v>3</v>
      </c>
      <c r="AE129" s="2" t="inlineStr">
        <is>
          <t>Low-turnover timing benchmark.</t>
        </is>
      </c>
      <c r="AF129" s="2" t="inlineStr">
        <is>
          <t>Crossref match (title, author, year, journal)</t>
        </is>
      </c>
    </row>
    <row r="130">
      <c r="A130" s="2" t="inlineStr">
        <is>
          <t>COC2011</t>
        </is>
      </c>
      <c r="B130" s="2" t="inlineStr">
        <is>
          <t>Presidential Address: Discount Rates</t>
        </is>
      </c>
      <c r="C130" s="2" t="inlineStr">
        <is>
          <t>Cochrane, J.H.</t>
        </is>
      </c>
      <c r="D130" s="3" t="n">
        <v>2011</v>
      </c>
      <c r="E130" s="2" t="inlineStr">
        <is>
          <t>Journal of Finance 66(4):1047-1108</t>
        </is>
      </c>
      <c r="F130" s="2" t="inlineStr">
        <is>
          <t>T1 General Finance</t>
        </is>
      </c>
      <c r="G130" s="4" t="inlineStr">
        <is>
          <t>https://doi.org/10.1111/j.1540-6261.2011.01671.x</t>
        </is>
      </c>
      <c r="H130" s="2" t="inlineStr">
        <is>
          <t>Replication &amp; multiple testing</t>
        </is>
      </c>
      <c r="I130" s="3" t="inlineStr">
        <is>
          <t>No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" t="inlineStr">
        <is>
          <t>—</t>
        </is>
      </c>
      <c r="R130" s="2" t="inlineStr">
        <is>
          <t>—</t>
        </is>
      </c>
      <c r="S130" s="2" t="inlineStr">
        <is>
          <t>—</t>
        </is>
      </c>
      <c r="T130" s="2" t="inlineStr">
        <is>
          <t>—</t>
        </is>
      </c>
      <c r="U130" s="2" t="inlineStr">
        <is>
          <t>—</t>
        </is>
      </c>
      <c r="V130" s="2" t="inlineStr">
        <is>
          <t>—</t>
        </is>
      </c>
      <c r="W130" s="2" t="inlineStr">
        <is>
          <t>—</t>
        </is>
      </c>
      <c r="X130" s="2" t="inlineStr">
        <is>
          <t>Frames the 'zoo' of characteristics and the need to understand which are independently important.</t>
        </is>
      </c>
      <c r="Y130" s="2" t="inlineStr">
        <is>
          <t>—</t>
        </is>
      </c>
      <c r="Z130" s="2" t="inlineStr">
        <is>
          <t>—</t>
        </is>
      </c>
      <c r="AA130" s="2" t="inlineStr">
        <is>
          <t>—</t>
        </is>
      </c>
      <c r="AB130" s="2" t="inlineStr">
        <is>
          <t>—</t>
        </is>
      </c>
      <c r="AC130" s="2" t="inlineStr">
        <is>
          <t>—</t>
        </is>
      </c>
      <c r="AD130" s="3" t="n">
        <v>3</v>
      </c>
      <c r="AE130" s="2" t="inlineStr">
        <is>
          <t>Motivating question for signal combination.</t>
        </is>
      </c>
      <c r="AF130" s="2" t="inlineStr">
        <is>
          <t>Crossref match (title, author, year, journal)</t>
        </is>
      </c>
    </row>
    <row r="131">
      <c r="A131" s="2" t="inlineStr">
        <is>
          <t>LS2008</t>
        </is>
      </c>
      <c r="B131" s="2" t="inlineStr">
        <is>
          <t>Do Risk Factors Eat Alphas?</t>
        </is>
      </c>
      <c r="C131" s="2" t="inlineStr">
        <is>
          <t>Lee, J.-H.; Stefek, D.</t>
        </is>
      </c>
      <c r="D131" s="3" t="n">
        <v>2008</v>
      </c>
      <c r="E131" s="2" t="inlineStr">
        <is>
          <t>Journal of Portfolio Management 34(4):12-25</t>
        </is>
      </c>
      <c r="F131" s="2" t="inlineStr">
        <is>
          <t>T3 Practitioner</t>
        </is>
      </c>
      <c r="G131" s="4" t="inlineStr">
        <is>
          <t>https://doi.org/10.3905/jpm.2008.709976</t>
        </is>
      </c>
      <c r="H131" s="2" t="inlineStr">
        <is>
          <t>Portfolio construction</t>
        </is>
      </c>
      <c r="I131" s="3" t="inlineStr">
        <is>
          <t>No</t>
        </is>
      </c>
      <c r="J131" s="2" t="inlineStr">
        <is>
          <t>—</t>
        </is>
      </c>
      <c r="K131" s="2" t="inlineStr">
        <is>
          <t>—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—</t>
        </is>
      </c>
      <c r="Q131" s="2" t="inlineStr">
        <is>
          <t>—</t>
        </is>
      </c>
      <c r="R131" s="2" t="inlineStr">
        <is>
          <t>—</t>
        </is>
      </c>
      <c r="S131" s="2" t="inlineStr">
        <is>
          <t>—</t>
        </is>
      </c>
      <c r="T131" s="2" t="inlineStr">
        <is>
          <t>—</t>
        </is>
      </c>
      <c r="U131" s="2" t="inlineStr">
        <is>
          <t>—</t>
        </is>
      </c>
      <c r="V131" s="2" t="inlineStr">
        <is>
          <t>—</t>
        </is>
      </c>
      <c r="W131" s="2" t="inlineStr">
        <is>
          <t>—</t>
        </is>
      </c>
      <c r="X131" s="2" t="inlineStr">
        <is>
          <t>Discrepancies between risk and alpha factors create unintended exposures; alignment can help even at the expense of risk forecasts.</t>
        </is>
      </c>
      <c r="Y131" s="2" t="inlineStr">
        <is>
          <t>—</t>
        </is>
      </c>
      <c r="Z131" s="2" t="inlineStr">
        <is>
          <t>—</t>
        </is>
      </c>
      <c r="AA131" s="2" t="inlineStr">
        <is>
          <t>—</t>
        </is>
      </c>
      <c r="AB131" s="2" t="inlineStr">
        <is>
          <t>—</t>
        </is>
      </c>
      <c r="AC131" s="2" t="inlineStr">
        <is>
          <t>—</t>
        </is>
      </c>
      <c r="AD131" s="3" t="n">
        <v>3</v>
      </c>
      <c r="AE131" s="2" t="inlineStr">
        <is>
          <t>Alignment diagnostics.</t>
        </is>
      </c>
      <c r="AF131" s="2" t="inlineStr">
        <is>
          <t>Crossref match (title, author, year, journal)</t>
        </is>
      </c>
    </row>
    <row r="132">
      <c r="A132" s="2" t="inlineStr">
        <is>
          <t>WG2008</t>
        </is>
      </c>
      <c r="B132" s="2" t="inlineStr">
        <is>
          <t>A Comprehensive Look at the Empirical Performance of Equity Premium Prediction</t>
        </is>
      </c>
      <c r="C132" s="2" t="inlineStr">
        <is>
          <t>Welch, I.; Goyal, A.</t>
        </is>
      </c>
      <c r="D132" s="3" t="n">
        <v>2008</v>
      </c>
      <c r="E132" s="2" t="inlineStr">
        <is>
          <t>Review of Financial Studies 21(4):1455-1508</t>
        </is>
      </c>
      <c r="F132" s="2" t="inlineStr">
        <is>
          <t>T1 General Finance</t>
        </is>
      </c>
      <c r="G132" s="4" t="inlineStr">
        <is>
          <t>https://doi.org/10.1093/rfs/hhm014</t>
        </is>
      </c>
      <c r="H132" s="2" t="inlineStr">
        <is>
          <t>Factor timing &amp; regimes</t>
        </is>
      </c>
      <c r="I132" s="3" t="inlineStr">
        <is>
          <t>No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" t="inlineStr">
        <is>
          <t>—</t>
        </is>
      </c>
      <c r="R132" s="2" t="inlineStr">
        <is>
          <t>—</t>
        </is>
      </c>
      <c r="S132" s="2" t="inlineStr">
        <is>
          <t>—</t>
        </is>
      </c>
      <c r="T132" s="2" t="inlineStr">
        <is>
          <t>—</t>
        </is>
      </c>
      <c r="U132" s="2" t="inlineStr">
        <is>
          <t>—</t>
        </is>
      </c>
      <c r="V132" s="2" t="inlineStr">
        <is>
          <t>—</t>
        </is>
      </c>
      <c r="W132" s="2" t="inlineStr">
        <is>
          <t>—</t>
        </is>
      </c>
      <c r="X132" s="2" t="inlineStr">
        <is>
          <t>Most predictors fail out of sample versus the historical mean.</t>
        </is>
      </c>
      <c r="Y132" s="2" t="inlineStr">
        <is>
          <t>—</t>
        </is>
      </c>
      <c r="Z132" s="2" t="inlineStr">
        <is>
          <t>—</t>
        </is>
      </c>
      <c r="AA132" s="2" t="inlineStr">
        <is>
          <t>—</t>
        </is>
      </c>
      <c r="AB132" s="2" t="inlineStr">
        <is>
          <t>—</t>
        </is>
      </c>
      <c r="AC132" s="2" t="inlineStr">
        <is>
          <t>—</t>
        </is>
      </c>
      <c r="AD132" s="3" t="n">
        <v>3</v>
      </c>
      <c r="AE132" s="2" t="inlineStr">
        <is>
          <t>State-variable source; OOS discipline.</t>
        </is>
      </c>
      <c r="AF132" s="2" t="inlineStr">
        <is>
          <t>Crossref match (title, author, year, journal)</t>
        </is>
      </c>
    </row>
    <row r="133">
      <c r="A133" s="2" t="inlineStr">
        <is>
          <t>KZ2007</t>
        </is>
      </c>
      <c r="B133" s="2" t="inlineStr">
        <is>
          <t>Optimal Portfolio Choice with Parameter Uncertainty</t>
        </is>
      </c>
      <c r="C133" s="2" t="inlineStr">
        <is>
          <t>Kan, R.; Zhou, G.</t>
        </is>
      </c>
      <c r="D133" s="3" t="n">
        <v>2007</v>
      </c>
      <c r="E133" s="2" t="inlineStr">
        <is>
          <t>Journal of Financial and Quantitative Analysis 42(3):621-656</t>
        </is>
      </c>
      <c r="F133" s="2" t="inlineStr">
        <is>
          <t>T1b Finance/OR</t>
        </is>
      </c>
      <c r="G133" s="4" t="inlineStr">
        <is>
          <t>https://doi.org/10.1017/s0022109000004129</t>
        </is>
      </c>
      <c r="H133" s="2" t="inlineStr">
        <is>
          <t>Portfolio construction</t>
        </is>
      </c>
      <c r="I133" s="3" t="inlineStr">
        <is>
          <t>No</t>
        </is>
      </c>
      <c r="J133" s="2" t="inlineStr">
        <is>
          <t>—</t>
        </is>
      </c>
      <c r="K133" s="2" t="inlineStr">
        <is>
          <t>—</t>
        </is>
      </c>
      <c r="L133" s="2" t="inlineStr">
        <is>
          <t>—</t>
        </is>
      </c>
      <c r="M133" s="2" t="inlineStr">
        <is>
          <t>—</t>
        </is>
      </c>
      <c r="N133" s="2" t="inlineStr">
        <is>
          <t>—</t>
        </is>
      </c>
      <c r="O133" s="2" t="inlineStr">
        <is>
          <t>—</t>
        </is>
      </c>
      <c r="P133" s="2" t="inlineStr">
        <is>
          <t>—</t>
        </is>
      </c>
      <c r="Q133" s="2" t="inlineStr">
        <is>
          <t>—</t>
        </is>
      </c>
      <c r="R133" s="2" t="inlineStr">
        <is>
          <t>—</t>
        </is>
      </c>
      <c r="S133" s="2" t="inlineStr">
        <is>
          <t>—</t>
        </is>
      </c>
      <c r="T133" s="2" t="inlineStr">
        <is>
          <t>—</t>
        </is>
      </c>
      <c r="U133" s="2" t="inlineStr">
        <is>
          <t>—</t>
        </is>
      </c>
      <c r="V133" s="2" t="inlineStr">
        <is>
          <t>—</t>
        </is>
      </c>
      <c r="W133" s="2" t="inlineStr">
        <is>
          <t>—</t>
        </is>
      </c>
      <c r="X133" s="2" t="inlineStr">
        <is>
          <t>Combining tangency and minimum-variance portfolios reduces estimation-risk losses.</t>
        </is>
      </c>
      <c r="Y133" s="2" t="inlineStr">
        <is>
          <t>—</t>
        </is>
      </c>
      <c r="Z133" s="2" t="inlineStr">
        <is>
          <t>—</t>
        </is>
      </c>
      <c r="AA133" s="2" t="inlineStr">
        <is>
          <t>—</t>
        </is>
      </c>
      <c r="AB133" s="2" t="inlineStr">
        <is>
          <t>—</t>
        </is>
      </c>
      <c r="AC133" s="2" t="inlineStr">
        <is>
          <t>—</t>
        </is>
      </c>
      <c r="AD133" s="3" t="n">
        <v>3</v>
      </c>
      <c r="AE133" s="2" t="inlineStr">
        <is>
          <t>Estimation-risk-aware baseline.</t>
        </is>
      </c>
      <c r="AF133" s="2" t="inlineStr">
        <is>
          <t>Crossref match (title, author, year, journal)</t>
        </is>
      </c>
    </row>
    <row r="134">
      <c r="A134" s="2" t="inlineStr">
        <is>
          <t>RR2007</t>
        </is>
      </c>
      <c r="B134" s="2" t="inlineStr">
        <is>
          <t>Random Features for Large-Scale Kernel Machines</t>
        </is>
      </c>
      <c r="C134" s="2" t="inlineStr">
        <is>
          <t>Rahimi, A.; Recht, B.</t>
        </is>
      </c>
      <c r="D134" s="3" t="n">
        <v>2007</v>
      </c>
      <c r="E134" s="2" t="inlineStr">
        <is>
          <t>Advances in Neural Information Processing Systems 20</t>
        </is>
      </c>
      <c r="F134" s="2" t="inlineStr">
        <is>
          <t>ML venue</t>
        </is>
      </c>
      <c r="G134" s="2" t="inlineStr"/>
      <c r="H134" s="2" t="inlineStr">
        <is>
          <t>ML methods</t>
        </is>
      </c>
      <c r="I134" s="3" t="inlineStr">
        <is>
          <t>No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" t="inlineStr">
        <is>
          <t>—</t>
        </is>
      </c>
      <c r="R134" s="2" t="inlineStr">
        <is>
          <t>—</t>
        </is>
      </c>
      <c r="S134" s="2" t="inlineStr">
        <is>
          <t>—</t>
        </is>
      </c>
      <c r="T134" s="2" t="inlineStr">
        <is>
          <t>—</t>
        </is>
      </c>
      <c r="U134" s="2" t="inlineStr">
        <is>
          <t>—</t>
        </is>
      </c>
      <c r="V134" s="2" t="inlineStr">
        <is>
          <t>—</t>
        </is>
      </c>
      <c r="W134" s="2" t="inlineStr">
        <is>
          <t>—</t>
        </is>
      </c>
      <c r="X134" s="2" t="inlineStr">
        <is>
          <t>Random Fourier features approximate shift-invariant kernels with an explicit finite-dimensional map.</t>
        </is>
      </c>
      <c r="Y134" s="2" t="inlineStr">
        <is>
          <t>—</t>
        </is>
      </c>
      <c r="Z134" s="2" t="inlineStr">
        <is>
          <t>—</t>
        </is>
      </c>
      <c r="AA134" s="2" t="inlineStr">
        <is>
          <t>—</t>
        </is>
      </c>
      <c r="AB134" s="2" t="inlineStr">
        <is>
          <t>—</t>
        </is>
      </c>
      <c r="AC134" s="2" t="inlineStr">
        <is>
          <t>—</t>
        </is>
      </c>
      <c r="AD134" s="3" t="n">
        <v>3</v>
      </c>
      <c r="AE134" s="2" t="inlineStr">
        <is>
          <t>The feature map underlying our complexity ladder and the virtue-of-complexity literature.</t>
        </is>
      </c>
      <c r="AF134" s="2" t="inlineStr">
        <is>
          <t>Conference/ML venue (not in Crossref or not matched)</t>
        </is>
      </c>
    </row>
    <row r="135">
      <c r="A135" s="2" t="inlineStr">
        <is>
          <t>BW2006</t>
        </is>
      </c>
      <c r="B135" s="2" t="inlineStr">
        <is>
          <t>Investor Sentiment and the Cross-Section of Stock Returns</t>
        </is>
      </c>
      <c r="C135" s="2" t="inlineStr">
        <is>
          <t>Baker, M.; Wurgler, J.</t>
        </is>
      </c>
      <c r="D135" s="3" t="n">
        <v>2006</v>
      </c>
      <c r="E135" s="2" t="inlineStr">
        <is>
          <t>Journal of Finance 61(4):1645-1680</t>
        </is>
      </c>
      <c r="F135" s="2" t="inlineStr">
        <is>
          <t>T1 General Finance</t>
        </is>
      </c>
      <c r="G135" s="4" t="inlineStr">
        <is>
          <t>https://doi.org/10.1111/j.1540-6261.2006.00885.x</t>
        </is>
      </c>
      <c r="H135" s="2" t="inlineStr">
        <is>
          <t>Data &amp; measurement</t>
        </is>
      </c>
      <c r="I135" s="3" t="inlineStr">
        <is>
          <t>No</t>
        </is>
      </c>
      <c r="J135" s="2" t="inlineStr">
        <is>
          <t>—</t>
        </is>
      </c>
      <c r="K135" s="2" t="inlineStr">
        <is>
          <t>—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—</t>
        </is>
      </c>
      <c r="O135" s="2" t="inlineStr">
        <is>
          <t>—</t>
        </is>
      </c>
      <c r="P135" s="2" t="inlineStr">
        <is>
          <t>—</t>
        </is>
      </c>
      <c r="Q135" s="2" t="inlineStr">
        <is>
          <t>—</t>
        </is>
      </c>
      <c r="R135" s="2" t="inlineStr">
        <is>
          <t>—</t>
        </is>
      </c>
      <c r="S135" s="2" t="inlineStr">
        <is>
          <t>—</t>
        </is>
      </c>
      <c r="T135" s="2" t="inlineStr">
        <is>
          <t>—</t>
        </is>
      </c>
      <c r="U135" s="2" t="inlineStr">
        <is>
          <t>—</t>
        </is>
      </c>
      <c r="V135" s="2" t="inlineStr">
        <is>
          <t>—</t>
        </is>
      </c>
      <c r="W135" s="2" t="inlineStr">
        <is>
          <t>—</t>
        </is>
      </c>
      <c r="X135" s="2" t="inlineStr">
        <is>
          <t>Sentiment index; hard-to-value stocks mispriced conditional on sentiment.</t>
        </is>
      </c>
      <c r="Y135" s="2" t="inlineStr">
        <is>
          <t>—</t>
        </is>
      </c>
      <c r="Z135" s="2" t="inlineStr">
        <is>
          <t>—</t>
        </is>
      </c>
      <c r="AA135" s="2" t="inlineStr">
        <is>
          <t>—</t>
        </is>
      </c>
      <c r="AB135" s="2" t="inlineStr">
        <is>
          <t>—</t>
        </is>
      </c>
      <c r="AC135" s="2" t="inlineStr">
        <is>
          <t>—</t>
        </is>
      </c>
      <c r="AD135" s="3" t="n">
        <v>3</v>
      </c>
      <c r="AE135" s="2" t="inlineStr">
        <is>
          <t>State variable (sentiment).</t>
        </is>
      </c>
      <c r="AF135" s="2" t="inlineStr">
        <is>
          <t>Crossref match (title, author, year, journal)</t>
        </is>
      </c>
    </row>
    <row r="136">
      <c r="A136" s="2" t="inlineStr">
        <is>
          <t>ATHL2005</t>
        </is>
      </c>
      <c r="B136" s="2" t="inlineStr">
        <is>
          <t>Direct Estimation of Equity Market Impact</t>
        </is>
      </c>
      <c r="C136" s="2" t="inlineStr">
        <is>
          <t>Almgren, R.; Thum, C.; Hauptmann, E.; Li, H.</t>
        </is>
      </c>
      <c r="D136" s="3" t="n">
        <v>2005</v>
      </c>
      <c r="E136" s="2" t="inlineStr">
        <is>
          <t>Risk 18(7):58-62</t>
        </is>
      </c>
      <c r="F136" s="2" t="inlineStr">
        <is>
          <t>T3 Practitioner</t>
        </is>
      </c>
      <c r="G136" s="2" t="inlineStr"/>
      <c r="H136" s="2" t="inlineStr">
        <is>
          <t>TC &amp; implementability</t>
        </is>
      </c>
      <c r="I136" s="3" t="inlineStr">
        <is>
          <t>No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" t="inlineStr">
        <is>
          <t>—</t>
        </is>
      </c>
      <c r="R136" s="2" t="inlineStr">
        <is>
          <t>—</t>
        </is>
      </c>
      <c r="S136" s="2" t="inlineStr">
        <is>
          <t>—</t>
        </is>
      </c>
      <c r="T136" s="2" t="inlineStr">
        <is>
          <t>—</t>
        </is>
      </c>
      <c r="U136" s="2" t="inlineStr">
        <is>
          <t>—</t>
        </is>
      </c>
      <c r="V136" s="2" t="inlineStr">
        <is>
          <t>—</t>
        </is>
      </c>
      <c r="W136" s="2" t="inlineStr">
        <is>
          <t>—</t>
        </is>
      </c>
      <c r="X136" s="2" t="inlineStr">
        <is>
          <t>Empirical market-impact estimates from institutional orders support concave (approximately 3/5 power) temporary impact [verify exponent].</t>
        </is>
      </c>
      <c r="Y136" s="2" t="inlineStr">
        <is>
          <t>—</t>
        </is>
      </c>
      <c r="Z136" s="2" t="inlineStr">
        <is>
          <t>—</t>
        </is>
      </c>
      <c r="AA136" s="2" t="inlineStr">
        <is>
          <t>—</t>
        </is>
      </c>
      <c r="AB136" s="2" t="inlineStr">
        <is>
          <t>—</t>
        </is>
      </c>
      <c r="AC136" s="2" t="inlineStr">
        <is>
          <t>—</t>
        </is>
      </c>
      <c r="AD136" s="3" t="n">
        <v>3</v>
      </c>
      <c r="AE136" s="2" t="inlineStr">
        <is>
          <t>Impact calibration.</t>
        </is>
      </c>
      <c r="AF136" s="2" t="inlineStr">
        <is>
          <t>No DOI verified</t>
        </is>
      </c>
    </row>
    <row r="137">
      <c r="A137" s="2" t="inlineStr">
        <is>
          <t>KS2004</t>
        </is>
      </c>
      <c r="B137" s="2" t="inlineStr">
        <is>
          <t>Are Momentum Profits Robust to Trading Costs?</t>
        </is>
      </c>
      <c r="C137" s="2" t="inlineStr">
        <is>
          <t>Korajczyk, R.A.; Sadka, R.</t>
        </is>
      </c>
      <c r="D137" s="3" t="n">
        <v>2004</v>
      </c>
      <c r="E137" s="2" t="inlineStr">
        <is>
          <t>Journal of Finance 59(3):1039-1082</t>
        </is>
      </c>
      <c r="F137" s="2" t="inlineStr">
        <is>
          <t>T1 General Finance</t>
        </is>
      </c>
      <c r="G137" s="4" t="inlineStr">
        <is>
          <t>https://doi.org/10.1111/j.1540-6261.2004.00656.x</t>
        </is>
      </c>
      <c r="H137" s="2" t="inlineStr">
        <is>
          <t>TC &amp; implementability</t>
        </is>
      </c>
      <c r="I137" s="3" t="inlineStr">
        <is>
          <t>No</t>
        </is>
      </c>
      <c r="J137" s="2" t="inlineStr">
        <is>
          <t>—</t>
        </is>
      </c>
      <c r="K137" s="2" t="inlineStr">
        <is>
          <t>—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—</t>
        </is>
      </c>
      <c r="O137" s="2" t="inlineStr">
        <is>
          <t>—</t>
        </is>
      </c>
      <c r="P137" s="2" t="inlineStr">
        <is>
          <t>—</t>
        </is>
      </c>
      <c r="Q137" s="2" t="inlineStr">
        <is>
          <t>—</t>
        </is>
      </c>
      <c r="R137" s="2" t="inlineStr">
        <is>
          <t>—</t>
        </is>
      </c>
      <c r="S137" s="2" t="inlineStr">
        <is>
          <t>—</t>
        </is>
      </c>
      <c r="T137" s="2" t="inlineStr">
        <is>
          <t>—</t>
        </is>
      </c>
      <c r="U137" s="2" t="inlineStr">
        <is>
          <t>—</t>
        </is>
      </c>
      <c r="V137" s="2" t="inlineStr">
        <is>
          <t>—</t>
        </is>
      </c>
      <c r="W137" s="2" t="inlineStr">
        <is>
          <t>—</t>
        </is>
      </c>
      <c r="X137" s="2" t="inlineStr">
        <is>
          <t>Price-impact-based capacity estimates for momentum; liquidity-weighted strategies have higher capacity.</t>
        </is>
      </c>
      <c r="Y137" s="2" t="inlineStr">
        <is>
          <t>—</t>
        </is>
      </c>
      <c r="Z137" s="2" t="inlineStr">
        <is>
          <t>—</t>
        </is>
      </c>
      <c r="AA137" s="2" t="inlineStr">
        <is>
          <t>—</t>
        </is>
      </c>
      <c r="AB137" s="2" t="inlineStr">
        <is>
          <t>—</t>
        </is>
      </c>
      <c r="AC137" s="2" t="inlineStr">
        <is>
          <t>—</t>
        </is>
      </c>
      <c r="AD137" s="3" t="n">
        <v>3</v>
      </c>
      <c r="AE137" s="2" t="inlineStr">
        <is>
          <t>Capacity methodology.</t>
        </is>
      </c>
      <c r="AF137" s="2" t="inlineStr">
        <is>
          <t>Crossref match (title, author, year, journal)</t>
        </is>
      </c>
    </row>
    <row r="138">
      <c r="A138" s="2" t="inlineStr">
        <is>
          <t>LW2004</t>
        </is>
      </c>
      <c r="B138" s="2" t="inlineStr">
        <is>
          <t>Honey, I Shrunk the Sample Covariance Matrix</t>
        </is>
      </c>
      <c r="C138" s="2" t="inlineStr">
        <is>
          <t>Ledoit, O.; Wolf, M.</t>
        </is>
      </c>
      <c r="D138" s="3" t="n">
        <v>2004</v>
      </c>
      <c r="E138" s="2" t="inlineStr">
        <is>
          <t>Journal of Portfolio Management 30(4):110-119</t>
        </is>
      </c>
      <c r="F138" s="2" t="inlineStr">
        <is>
          <t>T3 Practitioner</t>
        </is>
      </c>
      <c r="G138" s="4" t="inlineStr">
        <is>
          <t>https://doi.org/10.3905/jpm.2004.110</t>
        </is>
      </c>
      <c r="H138" s="2" t="inlineStr">
        <is>
          <t>Portfolio construction</t>
        </is>
      </c>
      <c r="I138" s="3" t="inlineStr">
        <is>
          <t>No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" t="inlineStr">
        <is>
          <t>—</t>
        </is>
      </c>
      <c r="R138" s="2" t="inlineStr">
        <is>
          <t>—</t>
        </is>
      </c>
      <c r="S138" s="2" t="inlineStr">
        <is>
          <t>—</t>
        </is>
      </c>
      <c r="T138" s="2" t="inlineStr">
        <is>
          <t>—</t>
        </is>
      </c>
      <c r="U138" s="2" t="inlineStr">
        <is>
          <t>—</t>
        </is>
      </c>
      <c r="V138" s="2" t="inlineStr">
        <is>
          <t>—</t>
        </is>
      </c>
      <c r="W138" s="2" t="inlineStr">
        <is>
          <t>—</t>
        </is>
      </c>
      <c r="X138" s="2" t="inlineStr">
        <is>
          <t>Linear shrinkage toward constant correlation.</t>
        </is>
      </c>
      <c r="Y138" s="2" t="inlineStr">
        <is>
          <t>—</t>
        </is>
      </c>
      <c r="Z138" s="2" t="inlineStr">
        <is>
          <t>—</t>
        </is>
      </c>
      <c r="AA138" s="2" t="inlineStr">
        <is>
          <t>—</t>
        </is>
      </c>
      <c r="AB138" s="2" t="inlineStr">
        <is>
          <t>—</t>
        </is>
      </c>
      <c r="AC138" s="2" t="inlineStr">
        <is>
          <t>—</t>
        </is>
      </c>
      <c r="AD138" s="3" t="n">
        <v>3</v>
      </c>
      <c r="AE138" s="2" t="inlineStr">
        <is>
          <t>Covariance robustness check.</t>
        </is>
      </c>
      <c r="AF138" s="2" t="inlineStr">
        <is>
          <t>Crossref match (title, author, year, journal)</t>
        </is>
      </c>
    </row>
    <row r="139">
      <c r="A139" s="2" t="inlineStr">
        <is>
          <t>GI2003</t>
        </is>
      </c>
      <c r="B139" s="2" t="inlineStr">
        <is>
          <t>Robust Portfolio Selection Problems</t>
        </is>
      </c>
      <c r="C139" s="2" t="inlineStr">
        <is>
          <t>Goldfarb, D.; Iyengar, G.</t>
        </is>
      </c>
      <c r="D139" s="3" t="n">
        <v>2003</v>
      </c>
      <c r="E139" s="2" t="inlineStr">
        <is>
          <t>Mathematics of Operations Research 28(1):1-38</t>
        </is>
      </c>
      <c r="F139" s="2" t="inlineStr">
        <is>
          <t>T1b Finance/OR</t>
        </is>
      </c>
      <c r="G139" s="4" t="inlineStr">
        <is>
          <t>https://doi.org/10.1287/moor.28.1.1.14260</t>
        </is>
      </c>
      <c r="H139" s="2" t="inlineStr">
        <is>
          <t>Portfolio construction</t>
        </is>
      </c>
      <c r="I139" s="3" t="inlineStr">
        <is>
          <t>No</t>
        </is>
      </c>
      <c r="J139" s="2" t="inlineStr">
        <is>
          <t>—</t>
        </is>
      </c>
      <c r="K139" s="2" t="inlineStr">
        <is>
          <t>—</t>
        </is>
      </c>
      <c r="L139" s="2" t="inlineStr">
        <is>
          <t>—</t>
        </is>
      </c>
      <c r="M139" s="2" t="inlineStr">
        <is>
          <t>—</t>
        </is>
      </c>
      <c r="N139" s="2" t="inlineStr">
        <is>
          <t>—</t>
        </is>
      </c>
      <c r="O139" s="2" t="inlineStr">
        <is>
          <t>—</t>
        </is>
      </c>
      <c r="P139" s="2" t="inlineStr">
        <is>
          <t>—</t>
        </is>
      </c>
      <c r="Q139" s="2" t="inlineStr">
        <is>
          <t>—</t>
        </is>
      </c>
      <c r="R139" s="2" t="inlineStr">
        <is>
          <t>—</t>
        </is>
      </c>
      <c r="S139" s="2" t="inlineStr">
        <is>
          <t>—</t>
        </is>
      </c>
      <c r="T139" s="2" t="inlineStr">
        <is>
          <t>—</t>
        </is>
      </c>
      <c r="U139" s="2" t="inlineStr">
        <is>
          <t>—</t>
        </is>
      </c>
      <c r="V139" s="2" t="inlineStr">
        <is>
          <t>—</t>
        </is>
      </c>
      <c r="W139" s="2" t="inlineStr">
        <is>
          <t>—</t>
        </is>
      </c>
      <c r="X139" s="2" t="inlineStr">
        <is>
          <t>Robust counterparts of mean-variance problems as SOCPs.</t>
        </is>
      </c>
      <c r="Y139" s="2" t="inlineStr">
        <is>
          <t>—</t>
        </is>
      </c>
      <c r="Z139" s="2" t="inlineStr">
        <is>
          <t>—</t>
        </is>
      </c>
      <c r="AA139" s="2" t="inlineStr">
        <is>
          <t>—</t>
        </is>
      </c>
      <c r="AB139" s="2" t="inlineStr">
        <is>
          <t>—</t>
        </is>
      </c>
      <c r="AC139" s="2" t="inlineStr">
        <is>
          <t>—</t>
        </is>
      </c>
      <c r="AD139" s="3" t="n">
        <v>3</v>
      </c>
      <c r="AE139" s="2" t="inlineStr">
        <is>
          <t>Uncertainty-set optimiser.</t>
        </is>
      </c>
      <c r="AF139" s="2" t="inlineStr">
        <is>
          <t>Crossref match (title, author, year, journal)</t>
        </is>
      </c>
    </row>
    <row r="140">
      <c r="A140" s="2" t="inlineStr">
        <is>
          <t>JM2003</t>
        </is>
      </c>
      <c r="B140" s="2" t="inlineStr">
        <is>
          <t>Risk Reduction in Large Portfolios: Why Imposing the Wrong Constraints Helps</t>
        </is>
      </c>
      <c r="C140" s="2" t="inlineStr">
        <is>
          <t>Jagannathan, R.; Ma, T.</t>
        </is>
      </c>
      <c r="D140" s="3" t="n">
        <v>2003</v>
      </c>
      <c r="E140" s="2" t="inlineStr">
        <is>
          <t>Journal of Finance 58(4):1651-1683</t>
        </is>
      </c>
      <c r="F140" s="2" t="inlineStr">
        <is>
          <t>T1 General Finance</t>
        </is>
      </c>
      <c r="G140" s="4" t="inlineStr">
        <is>
          <t>https://doi.org/10.1111/1540-6261.00580</t>
        </is>
      </c>
      <c r="H140" s="2" t="inlineStr">
        <is>
          <t>Portfolio construction</t>
        </is>
      </c>
      <c r="I140" s="3" t="inlineStr">
        <is>
          <t>No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" t="inlineStr">
        <is>
          <t>—</t>
        </is>
      </c>
      <c r="R140" s="2" t="inlineStr">
        <is>
          <t>—</t>
        </is>
      </c>
      <c r="S140" s="2" t="inlineStr">
        <is>
          <t>—</t>
        </is>
      </c>
      <c r="T140" s="2" t="inlineStr">
        <is>
          <t>—</t>
        </is>
      </c>
      <c r="U140" s="2" t="inlineStr">
        <is>
          <t>—</t>
        </is>
      </c>
      <c r="V140" s="2" t="inlineStr">
        <is>
          <t>—</t>
        </is>
      </c>
      <c r="W140" s="2" t="inlineStr">
        <is>
          <t>—</t>
        </is>
      </c>
      <c r="X140" s="2" t="inlineStr">
        <is>
          <t>No-short-sale constraints act like covariance shrinkage.</t>
        </is>
      </c>
      <c r="Y140" s="2" t="inlineStr">
        <is>
          <t>—</t>
        </is>
      </c>
      <c r="Z140" s="2" t="inlineStr">
        <is>
          <t>—</t>
        </is>
      </c>
      <c r="AA140" s="2" t="inlineStr">
        <is>
          <t>—</t>
        </is>
      </c>
      <c r="AB140" s="2" t="inlineStr">
        <is>
          <t>—</t>
        </is>
      </c>
      <c r="AC140" s="2" t="inlineStr">
        <is>
          <t>—</t>
        </is>
      </c>
      <c r="AD140" s="3" t="n">
        <v>3</v>
      </c>
      <c r="AE140" s="2" t="inlineStr">
        <is>
          <t>Constraints as regularisation.</t>
        </is>
      </c>
      <c r="AF140" s="2" t="inlineStr">
        <is>
          <t>Crossref match (title, author, year, journal)</t>
        </is>
      </c>
    </row>
    <row r="141">
      <c r="A141" s="2" t="inlineStr">
        <is>
          <t>PS2003</t>
        </is>
      </c>
      <c r="B141" s="2" t="inlineStr">
        <is>
          <t>Liquidity Risk and Expected Stock Returns</t>
        </is>
      </c>
      <c r="C141" s="2" t="inlineStr">
        <is>
          <t>Pastor, L.; Stambaugh, R.F.</t>
        </is>
      </c>
      <c r="D141" s="3" t="n">
        <v>2003</v>
      </c>
      <c r="E141" s="2" t="inlineStr">
        <is>
          <t>Journal of Political Economy 111(3):642-685</t>
        </is>
      </c>
      <c r="F141" s="2" t="inlineStr">
        <is>
          <t>T1 General Finance</t>
        </is>
      </c>
      <c r="G141" s="4" t="inlineStr">
        <is>
          <t>https://doi.org/10.1086/374184</t>
        </is>
      </c>
      <c r="H141" s="2" t="inlineStr">
        <is>
          <t>Data &amp; measurement</t>
        </is>
      </c>
      <c r="I141" s="3" t="inlineStr">
        <is>
          <t>No</t>
        </is>
      </c>
      <c r="J141" s="2" t="inlineStr">
        <is>
          <t>—</t>
        </is>
      </c>
      <c r="K141" s="2" t="inlineStr">
        <is>
          <t>—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—</t>
        </is>
      </c>
      <c r="O141" s="2" t="inlineStr">
        <is>
          <t>—</t>
        </is>
      </c>
      <c r="P141" s="2" t="inlineStr">
        <is>
          <t>—</t>
        </is>
      </c>
      <c r="Q141" s="2" t="inlineStr">
        <is>
          <t>—</t>
        </is>
      </c>
      <c r="R141" s="2" t="inlineStr">
        <is>
          <t>—</t>
        </is>
      </c>
      <c r="S141" s="2" t="inlineStr">
        <is>
          <t>—</t>
        </is>
      </c>
      <c r="T141" s="2" t="inlineStr">
        <is>
          <t>—</t>
        </is>
      </c>
      <c r="U141" s="2" t="inlineStr">
        <is>
          <t>—</t>
        </is>
      </c>
      <c r="V141" s="2" t="inlineStr">
        <is>
          <t>—</t>
        </is>
      </c>
      <c r="W141" s="2" t="inlineStr">
        <is>
          <t>—</t>
        </is>
      </c>
      <c r="X141" s="2" t="inlineStr">
        <is>
          <t>Aggregate liquidity measure and liquidity risk premium.</t>
        </is>
      </c>
      <c r="Y141" s="2" t="inlineStr">
        <is>
          <t>—</t>
        </is>
      </c>
      <c r="Z141" s="2" t="inlineStr">
        <is>
          <t>—</t>
        </is>
      </c>
      <c r="AA141" s="2" t="inlineStr">
        <is>
          <t>—</t>
        </is>
      </c>
      <c r="AB141" s="2" t="inlineStr">
        <is>
          <t>—</t>
        </is>
      </c>
      <c r="AC141" s="2" t="inlineStr">
        <is>
          <t>—</t>
        </is>
      </c>
      <c r="AD141" s="3" t="n">
        <v>3</v>
      </c>
      <c r="AE141" s="2" t="inlineStr">
        <is>
          <t>State variable (market liquidity).</t>
        </is>
      </c>
      <c r="AF141" s="2" t="inlineStr">
        <is>
          <t>Crossref match (online/issue year differs)</t>
        </is>
      </c>
    </row>
    <row r="142">
      <c r="A142" s="2" t="inlineStr">
        <is>
          <t>AMI2002</t>
        </is>
      </c>
      <c r="B142" s="2" t="inlineStr">
        <is>
          <t>Illiquidity and Stock Returns: Cross-Section and Time-Series Effects</t>
        </is>
      </c>
      <c r="C142" s="2" t="inlineStr">
        <is>
          <t>Amihud, Y.</t>
        </is>
      </c>
      <c r="D142" s="3" t="n">
        <v>2002</v>
      </c>
      <c r="E142" s="2" t="inlineStr">
        <is>
          <t>Journal of Financial Markets 5(1):31-56</t>
        </is>
      </c>
      <c r="F142" s="2" t="inlineStr">
        <is>
          <t>T2 Quant/Field</t>
        </is>
      </c>
      <c r="G142" s="4" t="inlineStr">
        <is>
          <t>https://doi.org/10.1016/s1386-4181(01)00024-6</t>
        </is>
      </c>
      <c r="H142" s="2" t="inlineStr">
        <is>
          <t>TC &amp; implementability</t>
        </is>
      </c>
      <c r="I142" s="3" t="inlineStr">
        <is>
          <t>No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" t="inlineStr">
        <is>
          <t>—</t>
        </is>
      </c>
      <c r="R142" s="2" t="inlineStr">
        <is>
          <t>—</t>
        </is>
      </c>
      <c r="S142" s="2" t="inlineStr">
        <is>
          <t>—</t>
        </is>
      </c>
      <c r="T142" s="2" t="inlineStr">
        <is>
          <t>—</t>
        </is>
      </c>
      <c r="U142" s="2" t="inlineStr">
        <is>
          <t>—</t>
        </is>
      </c>
      <c r="V142" s="2" t="inlineStr">
        <is>
          <t>—</t>
        </is>
      </c>
      <c r="W142" s="2" t="inlineStr">
        <is>
          <t>—</t>
        </is>
      </c>
      <c r="X142" s="2" t="inlineStr">
        <is>
          <t>Illiquidity ratio; market illiquidity predicts returns.</t>
        </is>
      </c>
      <c r="Y142" s="2" t="inlineStr">
        <is>
          <t>—</t>
        </is>
      </c>
      <c r="Z142" s="2" t="inlineStr">
        <is>
          <t>—</t>
        </is>
      </c>
      <c r="AA142" s="2" t="inlineStr">
        <is>
          <t>—</t>
        </is>
      </c>
      <c r="AB142" s="2" t="inlineStr">
        <is>
          <t>—</t>
        </is>
      </c>
      <c r="AC142" s="2" t="inlineStr">
        <is>
          <t>—</t>
        </is>
      </c>
      <c r="AD142" s="3" t="n">
        <v>3</v>
      </c>
      <c r="AE142" s="2" t="inlineStr">
        <is>
          <t>Liquidity feature and state variable.</t>
        </is>
      </c>
      <c r="AF142" s="2" t="inlineStr">
        <is>
          <t>Crossref match (title, author, year, journal)</t>
        </is>
      </c>
    </row>
    <row r="143">
      <c r="A143" s="2" t="inlineStr">
        <is>
          <t>AC2001</t>
        </is>
      </c>
      <c r="B143" s="2" t="inlineStr">
        <is>
          <t>Optimal Execution of Portfolio Transactions</t>
        </is>
      </c>
      <c r="C143" s="2" t="inlineStr">
        <is>
          <t>Almgren, R.; Chriss, N.</t>
        </is>
      </c>
      <c r="D143" s="3" t="n">
        <v>2001</v>
      </c>
      <c r="E143" s="2" t="inlineStr">
        <is>
          <t>Journal of Risk 3(2):5-39</t>
        </is>
      </c>
      <c r="F143" s="2" t="inlineStr">
        <is>
          <t>T2 Quant/Field</t>
        </is>
      </c>
      <c r="G143" s="4" t="inlineStr">
        <is>
          <t>https://doi.org/10.21314/jor.2001.041</t>
        </is>
      </c>
      <c r="H143" s="2" t="inlineStr">
        <is>
          <t>TC &amp; implementability</t>
        </is>
      </c>
      <c r="I143" s="3" t="inlineStr">
        <is>
          <t>No</t>
        </is>
      </c>
      <c r="J143" s="2" t="inlineStr">
        <is>
          <t>—</t>
        </is>
      </c>
      <c r="K143" s="2" t="inlineStr">
        <is>
          <t>—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—</t>
        </is>
      </c>
      <c r="O143" s="2" t="inlineStr">
        <is>
          <t>—</t>
        </is>
      </c>
      <c r="P143" s="2" t="inlineStr">
        <is>
          <t>—</t>
        </is>
      </c>
      <c r="Q143" s="2" t="inlineStr">
        <is>
          <t>—</t>
        </is>
      </c>
      <c r="R143" s="2" t="inlineStr">
        <is>
          <t>—</t>
        </is>
      </c>
      <c r="S143" s="2" t="inlineStr">
        <is>
          <t>—</t>
        </is>
      </c>
      <c r="T143" s="2" t="inlineStr">
        <is>
          <t>—</t>
        </is>
      </c>
      <c r="U143" s="2" t="inlineStr">
        <is>
          <t>—</t>
        </is>
      </c>
      <c r="V143" s="2" t="inlineStr">
        <is>
          <t>—</t>
        </is>
      </c>
      <c r="W143" s="2" t="inlineStr">
        <is>
          <t>—</t>
        </is>
      </c>
      <c r="X143" s="2" t="inlineStr">
        <is>
          <t>Mean-variance optimal execution with temporary and permanent impact.</t>
        </is>
      </c>
      <c r="Y143" s="2" t="inlineStr">
        <is>
          <t>—</t>
        </is>
      </c>
      <c r="Z143" s="2" t="inlineStr">
        <is>
          <t>—</t>
        </is>
      </c>
      <c r="AA143" s="2" t="inlineStr">
        <is>
          <t>—</t>
        </is>
      </c>
      <c r="AB143" s="2" t="inlineStr">
        <is>
          <t>—</t>
        </is>
      </c>
      <c r="AC143" s="2" t="inlineStr">
        <is>
          <t>—</t>
        </is>
      </c>
      <c r="AD143" s="3" t="n">
        <v>3</v>
      </c>
      <c r="AE143" s="2" t="inlineStr">
        <is>
          <t>Execution-cost model.</t>
        </is>
      </c>
      <c r="AF143" s="2" t="inlineStr">
        <is>
          <t>Crossref match (title, author, year, journal)</t>
        </is>
      </c>
    </row>
    <row r="144">
      <c r="A144" s="2" t="inlineStr">
        <is>
          <t>BRE2001</t>
        </is>
      </c>
      <c r="B144" s="2" t="inlineStr">
        <is>
          <t>Random Forests</t>
        </is>
      </c>
      <c r="C144" s="2" t="inlineStr">
        <is>
          <t>Breiman, L.</t>
        </is>
      </c>
      <c r="D144" s="3" t="n">
        <v>2001</v>
      </c>
      <c r="E144" s="2" t="inlineStr">
        <is>
          <t>Machine Learning 45(1):5-32</t>
        </is>
      </c>
      <c r="F144" s="2" t="inlineStr">
        <is>
          <t>ML venue</t>
        </is>
      </c>
      <c r="G144" s="4" t="inlineStr">
        <is>
          <t>https://doi.org/10.1023/a:1010933404324</t>
        </is>
      </c>
      <c r="H144" s="2" t="inlineStr">
        <is>
          <t>ML methods</t>
        </is>
      </c>
      <c r="I144" s="3" t="inlineStr">
        <is>
          <t>No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" t="inlineStr">
        <is>
          <t>—</t>
        </is>
      </c>
      <c r="R144" s="2" t="inlineStr">
        <is>
          <t>—</t>
        </is>
      </c>
      <c r="S144" s="2" t="inlineStr">
        <is>
          <t>—</t>
        </is>
      </c>
      <c r="T144" s="2" t="inlineStr">
        <is>
          <t>—</t>
        </is>
      </c>
      <c r="U144" s="2" t="inlineStr">
        <is>
          <t>—</t>
        </is>
      </c>
      <c r="V144" s="2" t="inlineStr">
        <is>
          <t>—</t>
        </is>
      </c>
      <c r="W144" s="2" t="inlineStr">
        <is>
          <t>—</t>
        </is>
      </c>
      <c r="X144" s="2" t="inlineStr">
        <is>
          <t>Random forests.</t>
        </is>
      </c>
      <c r="Y144" s="2" t="inlineStr">
        <is>
          <t>—</t>
        </is>
      </c>
      <c r="Z144" s="2" t="inlineStr">
        <is>
          <t>—</t>
        </is>
      </c>
      <c r="AA144" s="2" t="inlineStr">
        <is>
          <t>—</t>
        </is>
      </c>
      <c r="AB144" s="2" t="inlineStr">
        <is>
          <t>—</t>
        </is>
      </c>
      <c r="AC144" s="2" t="inlineStr">
        <is>
          <t>—</t>
        </is>
      </c>
      <c r="AD144" s="3" t="n">
        <v>3</v>
      </c>
      <c r="AE144" s="2" t="inlineStr">
        <is>
          <t>RF baseline.</t>
        </is>
      </c>
      <c r="AF144" s="2" t="inlineStr">
        <is>
          <t>Crossref match (title, author, year, journal)</t>
        </is>
      </c>
    </row>
    <row r="145">
      <c r="A145" s="2" t="inlineStr">
        <is>
          <t>FRI2001</t>
        </is>
      </c>
      <c r="B145" s="2" t="inlineStr">
        <is>
          <t>Greedy Function Approximation: A Gradient Boosting Machine</t>
        </is>
      </c>
      <c r="C145" s="2" t="inlineStr">
        <is>
          <t>Friedman, J.H.</t>
        </is>
      </c>
      <c r="D145" s="3" t="n">
        <v>2001</v>
      </c>
      <c r="E145" s="2" t="inlineStr">
        <is>
          <t>Annals of Statistics 29(5):1189-1232</t>
        </is>
      </c>
      <c r="F145" s="2" t="inlineStr">
        <is>
          <t>Econometrics general</t>
        </is>
      </c>
      <c r="G145" s="4" t="inlineStr">
        <is>
          <t>https://doi.org/10.1214/aos/1013203451</t>
        </is>
      </c>
      <c r="H145" s="2" t="inlineStr">
        <is>
          <t>ML methods</t>
        </is>
      </c>
      <c r="I145" s="3" t="inlineStr">
        <is>
          <t>No</t>
        </is>
      </c>
      <c r="J145" s="2" t="inlineStr">
        <is>
          <t>—</t>
        </is>
      </c>
      <c r="K145" s="2" t="inlineStr">
        <is>
          <t>—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—</t>
        </is>
      </c>
      <c r="O145" s="2" t="inlineStr">
        <is>
          <t>—</t>
        </is>
      </c>
      <c r="P145" s="2" t="inlineStr">
        <is>
          <t>—</t>
        </is>
      </c>
      <c r="Q145" s="2" t="inlineStr">
        <is>
          <t>—</t>
        </is>
      </c>
      <c r="R145" s="2" t="inlineStr">
        <is>
          <t>—</t>
        </is>
      </c>
      <c r="S145" s="2" t="inlineStr">
        <is>
          <t>—</t>
        </is>
      </c>
      <c r="T145" s="2" t="inlineStr">
        <is>
          <t>—</t>
        </is>
      </c>
      <c r="U145" s="2" t="inlineStr">
        <is>
          <t>—</t>
        </is>
      </c>
      <c r="V145" s="2" t="inlineStr">
        <is>
          <t>—</t>
        </is>
      </c>
      <c r="W145" s="2" t="inlineStr">
        <is>
          <t>—</t>
        </is>
      </c>
      <c r="X145" s="2" t="inlineStr">
        <is>
          <t>Gradient boosting; partial dependence plots.</t>
        </is>
      </c>
      <c r="Y145" s="2" t="inlineStr">
        <is>
          <t>—</t>
        </is>
      </c>
      <c r="Z145" s="2" t="inlineStr">
        <is>
          <t>—</t>
        </is>
      </c>
      <c r="AA145" s="2" t="inlineStr">
        <is>
          <t>—</t>
        </is>
      </c>
      <c r="AB145" s="2" t="inlineStr">
        <is>
          <t>—</t>
        </is>
      </c>
      <c r="AC145" s="2" t="inlineStr">
        <is>
          <t>—</t>
        </is>
      </c>
      <c r="AD145" s="3" t="n">
        <v>3</v>
      </c>
      <c r="AE145" s="2" t="inlineStr">
        <is>
          <t>GBDT foundation.</t>
        </is>
      </c>
      <c r="AF145" s="2" t="inlineStr">
        <is>
          <t>Crossref match (title, author, year, journal)</t>
        </is>
      </c>
    </row>
    <row r="146">
      <c r="A146" s="2" t="inlineStr">
        <is>
          <t>BP1998</t>
        </is>
      </c>
      <c r="B146" s="2" t="inlineStr">
        <is>
          <t>Estimating and Testing Linear Models with Multiple Structural Changes</t>
        </is>
      </c>
      <c r="C146" s="2" t="inlineStr">
        <is>
          <t>Bai, J.; Perron, P.</t>
        </is>
      </c>
      <c r="D146" s="3" t="n">
        <v>1998</v>
      </c>
      <c r="E146" s="2" t="inlineStr">
        <is>
          <t>Econometrica 66(1):47</t>
        </is>
      </c>
      <c r="F146" s="2" t="inlineStr">
        <is>
          <t>Econometrics general</t>
        </is>
      </c>
      <c r="G146" s="4" t="inlineStr">
        <is>
          <t>https://doi.org/10.2307/2998540</t>
        </is>
      </c>
      <c r="H146" s="2" t="inlineStr">
        <is>
          <t>Statistical inference</t>
        </is>
      </c>
      <c r="I146" s="3" t="inlineStr">
        <is>
          <t>No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" t="inlineStr">
        <is>
          <t>—</t>
        </is>
      </c>
      <c r="R146" s="2" t="inlineStr">
        <is>
          <t>—</t>
        </is>
      </c>
      <c r="S146" s="2" t="inlineStr">
        <is>
          <t>—</t>
        </is>
      </c>
      <c r="T146" s="2" t="inlineStr">
        <is>
          <t>—</t>
        </is>
      </c>
      <c r="U146" s="2" t="inlineStr">
        <is>
          <t>—</t>
        </is>
      </c>
      <c r="V146" s="2" t="inlineStr">
        <is>
          <t>—</t>
        </is>
      </c>
      <c r="W146" s="2" t="inlineStr">
        <is>
          <t>—</t>
        </is>
      </c>
      <c r="X146" s="2" t="inlineStr">
        <is>
          <t>Estimation and tests for multiple structural breaks.</t>
        </is>
      </c>
      <c r="Y146" s="2" t="inlineStr">
        <is>
          <t>—</t>
        </is>
      </c>
      <c r="Z146" s="2" t="inlineStr">
        <is>
          <t>—</t>
        </is>
      </c>
      <c r="AA146" s="2" t="inlineStr">
        <is>
          <t>—</t>
        </is>
      </c>
      <c r="AB146" s="2" t="inlineStr">
        <is>
          <t>—</t>
        </is>
      </c>
      <c r="AC146" s="2" t="inlineStr">
        <is>
          <t>—</t>
        </is>
      </c>
      <c r="AD146" s="3" t="n">
        <v>3</v>
      </c>
      <c r="AE146" s="2" t="inlineStr">
        <is>
          <t>Stability tests of cell differences.</t>
        </is>
      </c>
      <c r="AF146" s="2" t="inlineStr">
        <is>
          <t>Crossref match (title, author, year, journal)</t>
        </is>
      </c>
    </row>
    <row r="147">
      <c r="A147" s="2" t="inlineStr">
        <is>
          <t>BH1995</t>
        </is>
      </c>
      <c r="B147" s="2" t="inlineStr">
        <is>
          <t>Controlling the False Discovery Rate: A Practical and Powerful Approach to Multiple Testing</t>
        </is>
      </c>
      <c r="C147" s="2" t="inlineStr">
        <is>
          <t>Benjamini, Y.; Hochberg, Y.</t>
        </is>
      </c>
      <c r="D147" s="3" t="n">
        <v>1995</v>
      </c>
      <c r="E147" s="2" t="inlineStr">
        <is>
          <t>Journal of the Royal Statistical Society Series B 57(1):289-300</t>
        </is>
      </c>
      <c r="F147" s="2" t="inlineStr">
        <is>
          <t>Econometrics general</t>
        </is>
      </c>
      <c r="G147" s="4" t="inlineStr">
        <is>
          <t>https://doi.org/10.1111/j.2517-6161.1995.tb02031.x</t>
        </is>
      </c>
      <c r="H147" s="2" t="inlineStr">
        <is>
          <t>Statistical inference</t>
        </is>
      </c>
      <c r="I147" s="3" t="inlineStr">
        <is>
          <t>No</t>
        </is>
      </c>
      <c r="J147" s="2" t="inlineStr">
        <is>
          <t>—</t>
        </is>
      </c>
      <c r="K147" s="2" t="inlineStr">
        <is>
          <t>—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—</t>
        </is>
      </c>
      <c r="O147" s="2" t="inlineStr">
        <is>
          <t>—</t>
        </is>
      </c>
      <c r="P147" s="2" t="inlineStr">
        <is>
          <t>—</t>
        </is>
      </c>
      <c r="Q147" s="2" t="inlineStr">
        <is>
          <t>—</t>
        </is>
      </c>
      <c r="R147" s="2" t="inlineStr">
        <is>
          <t>—</t>
        </is>
      </c>
      <c r="S147" s="2" t="inlineStr">
        <is>
          <t>—</t>
        </is>
      </c>
      <c r="T147" s="2" t="inlineStr">
        <is>
          <t>—</t>
        </is>
      </c>
      <c r="U147" s="2" t="inlineStr">
        <is>
          <t>—</t>
        </is>
      </c>
      <c r="V147" s="2" t="inlineStr">
        <is>
          <t>—</t>
        </is>
      </c>
      <c r="W147" s="2" t="inlineStr">
        <is>
          <t>—</t>
        </is>
      </c>
      <c r="X147" s="2" t="inlineStr">
        <is>
          <t>FDR control procedure.</t>
        </is>
      </c>
      <c r="Y147" s="2" t="inlineStr">
        <is>
          <t>—</t>
        </is>
      </c>
      <c r="Z147" s="2" t="inlineStr">
        <is>
          <t>—</t>
        </is>
      </c>
      <c r="AA147" s="2" t="inlineStr">
        <is>
          <t>—</t>
        </is>
      </c>
      <c r="AB147" s="2" t="inlineStr">
        <is>
          <t>—</t>
        </is>
      </c>
      <c r="AC147" s="2" t="inlineStr">
        <is>
          <t>—</t>
        </is>
      </c>
      <c r="AD147" s="3" t="n">
        <v>3</v>
      </c>
      <c r="AE147" s="2" t="inlineStr">
        <is>
          <t>Signal-level multiple testing.</t>
        </is>
      </c>
      <c r="AF147" s="2" t="inlineStr">
        <is>
          <t>Crossref match (title, author, year, journal)</t>
        </is>
      </c>
    </row>
    <row r="148">
      <c r="A148" s="2" t="inlineStr">
        <is>
          <t>FF1993</t>
        </is>
      </c>
      <c r="B148" s="2" t="inlineStr">
        <is>
          <t>Common Risk Factors in the Returns on Stocks and Bonds</t>
        </is>
      </c>
      <c r="C148" s="2" t="inlineStr">
        <is>
          <t>Fama, E.F.; French, K.R.</t>
        </is>
      </c>
      <c r="D148" s="3" t="n">
        <v>1993</v>
      </c>
      <c r="E148" s="2" t="inlineStr">
        <is>
          <t>Journal of Financial Economics 33(1):3-56</t>
        </is>
      </c>
      <c r="F148" s="2" t="inlineStr">
        <is>
          <t>T1 General Finance</t>
        </is>
      </c>
      <c r="G148" s="4" t="inlineStr">
        <is>
          <t>https://doi.org/10.1016/0304-405x(93)90023-5</t>
        </is>
      </c>
      <c r="H148" s="2" t="inlineStr">
        <is>
          <t>Data &amp; measurement</t>
        </is>
      </c>
      <c r="I148" s="3" t="inlineStr">
        <is>
          <t>No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" t="inlineStr">
        <is>
          <t>—</t>
        </is>
      </c>
      <c r="R148" s="2" t="inlineStr">
        <is>
          <t>—</t>
        </is>
      </c>
      <c r="S148" s="2" t="inlineStr">
        <is>
          <t>—</t>
        </is>
      </c>
      <c r="T148" s="2" t="inlineStr">
        <is>
          <t>—</t>
        </is>
      </c>
      <c r="U148" s="2" t="inlineStr">
        <is>
          <t>—</t>
        </is>
      </c>
      <c r="V148" s="2" t="inlineStr">
        <is>
          <t>—</t>
        </is>
      </c>
      <c r="W148" s="2" t="inlineStr">
        <is>
          <t>—</t>
        </is>
      </c>
      <c r="X148" s="2" t="inlineStr">
        <is>
          <t>Three-factor model.</t>
        </is>
      </c>
      <c r="Y148" s="2" t="inlineStr">
        <is>
          <t>—</t>
        </is>
      </c>
      <c r="Z148" s="2" t="inlineStr">
        <is>
          <t>—</t>
        </is>
      </c>
      <c r="AA148" s="2" t="inlineStr">
        <is>
          <t>—</t>
        </is>
      </c>
      <c r="AB148" s="2" t="inlineStr">
        <is>
          <t>—</t>
        </is>
      </c>
      <c r="AC148" s="2" t="inlineStr">
        <is>
          <t>—</t>
        </is>
      </c>
      <c r="AD148" s="3" t="n">
        <v>3</v>
      </c>
      <c r="AE148" s="2" t="inlineStr">
        <is>
          <t>Alpha benchmark.</t>
        </is>
      </c>
      <c r="AF148" s="2" t="inlineStr">
        <is>
          <t>Crossref match (title, author, year, journal)</t>
        </is>
      </c>
    </row>
    <row r="149">
      <c r="A149" s="2" t="inlineStr">
        <is>
          <t>BL1992</t>
        </is>
      </c>
      <c r="B149" s="2" t="inlineStr">
        <is>
          <t>Global Portfolio Optimization</t>
        </is>
      </c>
      <c r="C149" s="2" t="inlineStr">
        <is>
          <t>Black, F.; Litterman, R.</t>
        </is>
      </c>
      <c r="D149" s="3" t="n">
        <v>1992</v>
      </c>
      <c r="E149" s="2" t="inlineStr">
        <is>
          <t>Financial Analysts Journal 48(5):28-43</t>
        </is>
      </c>
      <c r="F149" s="2" t="inlineStr">
        <is>
          <t>T3 Practitioner</t>
        </is>
      </c>
      <c r="G149" s="4" t="inlineStr">
        <is>
          <t>https://doi.org/10.2469/faj.v48.n5.28</t>
        </is>
      </c>
      <c r="H149" s="2" t="inlineStr">
        <is>
          <t>Portfolio construction</t>
        </is>
      </c>
      <c r="I149" s="3" t="inlineStr">
        <is>
          <t>No</t>
        </is>
      </c>
      <c r="J149" s="2" t="inlineStr">
        <is>
          <t>—</t>
        </is>
      </c>
      <c r="K149" s="2" t="inlineStr">
        <is>
          <t>—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—</t>
        </is>
      </c>
      <c r="O149" s="2" t="inlineStr">
        <is>
          <t>—</t>
        </is>
      </c>
      <c r="P149" s="2" t="inlineStr">
        <is>
          <t>—</t>
        </is>
      </c>
      <c r="Q149" s="2" t="inlineStr">
        <is>
          <t>—</t>
        </is>
      </c>
      <c r="R149" s="2" t="inlineStr">
        <is>
          <t>—</t>
        </is>
      </c>
      <c r="S149" s="2" t="inlineStr">
        <is>
          <t>—</t>
        </is>
      </c>
      <c r="T149" s="2" t="inlineStr">
        <is>
          <t>—</t>
        </is>
      </c>
      <c r="U149" s="2" t="inlineStr">
        <is>
          <t>—</t>
        </is>
      </c>
      <c r="V149" s="2" t="inlineStr">
        <is>
          <t>—</t>
        </is>
      </c>
      <c r="W149" s="2" t="inlineStr">
        <is>
          <t>—</t>
        </is>
      </c>
      <c r="X149" s="2" t="inlineStr">
        <is>
          <t>Blends equilibrium returns with investor views.</t>
        </is>
      </c>
      <c r="Y149" s="2" t="inlineStr">
        <is>
          <t>—</t>
        </is>
      </c>
      <c r="Z149" s="2" t="inlineStr">
        <is>
          <t>—</t>
        </is>
      </c>
      <c r="AA149" s="2" t="inlineStr">
        <is>
          <t>—</t>
        </is>
      </c>
      <c r="AB149" s="2" t="inlineStr">
        <is>
          <t>—</t>
        </is>
      </c>
      <c r="AC149" s="2" t="inlineStr">
        <is>
          <t>—</t>
        </is>
      </c>
      <c r="AD149" s="3" t="n">
        <v>3</v>
      </c>
      <c r="AE149" s="2" t="inlineStr">
        <is>
          <t>Framework for blending ML alpha with confidence.</t>
        </is>
      </c>
      <c r="AF149" s="2" t="inlineStr">
        <is>
          <t>Crossref match (title, author, year, journal)</t>
        </is>
      </c>
    </row>
    <row r="150">
      <c r="A150" s="2" t="inlineStr">
        <is>
          <t>JJNH1991</t>
        </is>
      </c>
      <c r="B150" s="2" t="inlineStr">
        <is>
          <t>Adaptive Mixtures of Local Experts</t>
        </is>
      </c>
      <c r="C150" s="2" t="inlineStr">
        <is>
          <t>Jacobs, R.A.; Jordan, M.I.; Nowlan, S.J.; Hinton, G.E.</t>
        </is>
      </c>
      <c r="D150" s="3" t="n">
        <v>1991</v>
      </c>
      <c r="E150" s="2" t="inlineStr">
        <is>
          <t>Neural Computation 3(1):79-87</t>
        </is>
      </c>
      <c r="F150" s="2" t="inlineStr">
        <is>
          <t>ML venue</t>
        </is>
      </c>
      <c r="G150" s="4" t="inlineStr">
        <is>
          <t>https://doi.org/10.1162/neco.1991.3.1.79</t>
        </is>
      </c>
      <c r="H150" s="2" t="inlineStr">
        <is>
          <t>ML methods</t>
        </is>
      </c>
      <c r="I150" s="3" t="inlineStr">
        <is>
          <t>No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" t="inlineStr">
        <is>
          <t>—</t>
        </is>
      </c>
      <c r="R150" s="2" t="inlineStr">
        <is>
          <t>—</t>
        </is>
      </c>
      <c r="S150" s="2" t="inlineStr">
        <is>
          <t>—</t>
        </is>
      </c>
      <c r="T150" s="2" t="inlineStr">
        <is>
          <t>—</t>
        </is>
      </c>
      <c r="U150" s="2" t="inlineStr">
        <is>
          <t>—</t>
        </is>
      </c>
      <c r="V150" s="2" t="inlineStr">
        <is>
          <t>—</t>
        </is>
      </c>
      <c r="W150" s="2" t="inlineStr">
        <is>
          <t>—</t>
        </is>
      </c>
      <c r="X150" s="2" t="inlineStr">
        <is>
          <t>Mixture-of-experts with gating network.</t>
        </is>
      </c>
      <c r="Y150" s="2" t="inlineStr">
        <is>
          <t>—</t>
        </is>
      </c>
      <c r="Z150" s="2" t="inlineStr">
        <is>
          <t>—</t>
        </is>
      </c>
      <c r="AA150" s="2" t="inlineStr">
        <is>
          <t>—</t>
        </is>
      </c>
      <c r="AB150" s="2" t="inlineStr">
        <is>
          <t>—</t>
        </is>
      </c>
      <c r="AC150" s="2" t="inlineStr">
        <is>
          <t>—</t>
        </is>
      </c>
      <c r="AD150" s="3" t="n">
        <v>3</v>
      </c>
      <c r="AE150" s="2" t="inlineStr">
        <is>
          <t>Regime-gated combination architecture.</t>
        </is>
      </c>
      <c r="AF150" s="2" t="inlineStr">
        <is>
          <t>Crossref match (title, author, year, journal)</t>
        </is>
      </c>
    </row>
    <row r="151">
      <c r="A151" s="2" t="inlineStr">
        <is>
          <t>MICH1989</t>
        </is>
      </c>
      <c r="B151" s="2" t="inlineStr">
        <is>
          <t>The Markowitz Optimization Enigma: Is 'Optimized' Optimal?</t>
        </is>
      </c>
      <c r="C151" s="2" t="inlineStr">
        <is>
          <t>Michaud, R.O.</t>
        </is>
      </c>
      <c r="D151" s="3" t="n">
        <v>1989</v>
      </c>
      <c r="E151" s="2" t="inlineStr">
        <is>
          <t>Financial Analysts Journal 1989(4):43-54</t>
        </is>
      </c>
      <c r="F151" s="2" t="inlineStr">
        <is>
          <t>T3 Practitioner</t>
        </is>
      </c>
      <c r="G151" s="4" t="inlineStr">
        <is>
          <t>https://doi.org/10.2469/cp.v1989.n4.6</t>
        </is>
      </c>
      <c r="H151" s="2" t="inlineStr">
        <is>
          <t>Portfolio construction</t>
        </is>
      </c>
      <c r="I151" s="3" t="inlineStr">
        <is>
          <t>No</t>
        </is>
      </c>
      <c r="J151" s="2" t="inlineStr">
        <is>
          <t>—</t>
        </is>
      </c>
      <c r="K151" s="2" t="inlineStr">
        <is>
          <t>—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—</t>
        </is>
      </c>
      <c r="O151" s="2" t="inlineStr">
        <is>
          <t>—</t>
        </is>
      </c>
      <c r="P151" s="2" t="inlineStr">
        <is>
          <t>—</t>
        </is>
      </c>
      <c r="Q151" s="2" t="inlineStr">
        <is>
          <t>—</t>
        </is>
      </c>
      <c r="R151" s="2" t="inlineStr">
        <is>
          <t>—</t>
        </is>
      </c>
      <c r="S151" s="2" t="inlineStr">
        <is>
          <t>—</t>
        </is>
      </c>
      <c r="T151" s="2" t="inlineStr">
        <is>
          <t>—</t>
        </is>
      </c>
      <c r="U151" s="2" t="inlineStr">
        <is>
          <t>—</t>
        </is>
      </c>
      <c r="V151" s="2" t="inlineStr">
        <is>
          <t>—</t>
        </is>
      </c>
      <c r="W151" s="2" t="inlineStr">
        <is>
          <t>—</t>
        </is>
      </c>
      <c r="X151" s="2" t="inlineStr">
        <is>
          <t>Mean-variance optimisers act as estimation-error maximisers.</t>
        </is>
      </c>
      <c r="Y151" s="2" t="inlineStr">
        <is>
          <t>—</t>
        </is>
      </c>
      <c r="Z151" s="2" t="inlineStr">
        <is>
          <t>—</t>
        </is>
      </c>
      <c r="AA151" s="2" t="inlineStr">
        <is>
          <t>—</t>
        </is>
      </c>
      <c r="AB151" s="2" t="inlineStr">
        <is>
          <t>—</t>
        </is>
      </c>
      <c r="AC151" s="2" t="inlineStr">
        <is>
          <t>—</t>
        </is>
      </c>
      <c r="AD151" s="3" t="n">
        <v>3</v>
      </c>
      <c r="AE151" s="2" t="inlineStr">
        <is>
          <t>Error-maximisation argument.</t>
        </is>
      </c>
      <c r="AF151" s="2" t="inlineStr">
        <is>
          <t>Crossref match (title, author, year, journal)</t>
        </is>
      </c>
    </row>
    <row r="152">
      <c r="A152" s="2" t="inlineStr">
        <is>
          <t>JK1981</t>
        </is>
      </c>
      <c r="B152" s="2" t="inlineStr">
        <is>
          <t>Performance Hypothesis Testing with the Sharpe and Treynor Measures</t>
        </is>
      </c>
      <c r="C152" s="2" t="inlineStr">
        <is>
          <t>Jobson, J.D.; Korkie, B.M.</t>
        </is>
      </c>
      <c r="D152" s="3" t="n">
        <v>1981</v>
      </c>
      <c r="E152" s="2" t="inlineStr">
        <is>
          <t>Journal of Finance 36(4):889-908</t>
        </is>
      </c>
      <c r="F152" s="2" t="inlineStr">
        <is>
          <t>T1 General Finance</t>
        </is>
      </c>
      <c r="G152" s="4" t="inlineStr">
        <is>
          <t>https://doi.org/10.1111/j.1540-6261.1981.tb04891.x</t>
        </is>
      </c>
      <c r="H152" s="2" t="inlineStr">
        <is>
          <t>Statistical inference</t>
        </is>
      </c>
      <c r="I152" s="3" t="inlineStr">
        <is>
          <t>No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" t="inlineStr">
        <is>
          <t>—</t>
        </is>
      </c>
      <c r="R152" s="2" t="inlineStr">
        <is>
          <t>—</t>
        </is>
      </c>
      <c r="S152" s="2" t="inlineStr">
        <is>
          <t>—</t>
        </is>
      </c>
      <c r="T152" s="2" t="inlineStr">
        <is>
          <t>—</t>
        </is>
      </c>
      <c r="U152" s="2" t="inlineStr">
        <is>
          <t>—</t>
        </is>
      </c>
      <c r="V152" s="2" t="inlineStr">
        <is>
          <t>—</t>
        </is>
      </c>
      <c r="W152" s="2" t="inlineStr">
        <is>
          <t>—</t>
        </is>
      </c>
      <c r="X152" s="2" t="inlineStr">
        <is>
          <t>Asymptotic test for Sharpe-ratio equality (later corrected by Memmel 2003).</t>
        </is>
      </c>
      <c r="Y152" s="2" t="inlineStr">
        <is>
          <t>—</t>
        </is>
      </c>
      <c r="Z152" s="2" t="inlineStr">
        <is>
          <t>—</t>
        </is>
      </c>
      <c r="AA152" s="2" t="inlineStr">
        <is>
          <t>—</t>
        </is>
      </c>
      <c r="AB152" s="2" t="inlineStr">
        <is>
          <t>—</t>
        </is>
      </c>
      <c r="AC152" s="2" t="inlineStr">
        <is>
          <t>—</t>
        </is>
      </c>
      <c r="AD152" s="3" t="n">
        <v>3</v>
      </c>
      <c r="AE152" s="2" t="inlineStr">
        <is>
          <t>Classical Sharpe test.</t>
        </is>
      </c>
      <c r="AF152" s="2" t="inlineStr">
        <is>
          <t>Crossref match (title, author, year, journal)</t>
        </is>
      </c>
    </row>
    <row r="153">
      <c r="A153" s="2" t="inlineStr">
        <is>
          <t>FM1973</t>
        </is>
      </c>
      <c r="B153" s="2" t="inlineStr">
        <is>
          <t>Risk, Return, and Equilibrium: Empirical Tests</t>
        </is>
      </c>
      <c r="C153" s="2" t="inlineStr">
        <is>
          <t>Fama, E.F.; MacBeth, J.D.</t>
        </is>
      </c>
      <c r="D153" s="3" t="n">
        <v>1973</v>
      </c>
      <c r="E153" s="2" t="inlineStr">
        <is>
          <t>Journal of Political Economy 81(3):607-636</t>
        </is>
      </c>
      <c r="F153" s="2" t="inlineStr">
        <is>
          <t>T1 General Finance</t>
        </is>
      </c>
      <c r="G153" s="4" t="inlineStr">
        <is>
          <t>https://doi.org/10.1086/260061</t>
        </is>
      </c>
      <c r="H153" s="2" t="inlineStr">
        <is>
          <t>Statistical inference</t>
        </is>
      </c>
      <c r="I153" s="3" t="inlineStr">
        <is>
          <t>No</t>
        </is>
      </c>
      <c r="J153" s="2" t="inlineStr">
        <is>
          <t>—</t>
        </is>
      </c>
      <c r="K153" s="2" t="inlineStr">
        <is>
          <t>—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—</t>
        </is>
      </c>
      <c r="Q153" s="2" t="inlineStr">
        <is>
          <t>—</t>
        </is>
      </c>
      <c r="R153" s="2" t="inlineStr">
        <is>
          <t>—</t>
        </is>
      </c>
      <c r="S153" s="2" t="inlineStr">
        <is>
          <t>—</t>
        </is>
      </c>
      <c r="T153" s="2" t="inlineStr">
        <is>
          <t>—</t>
        </is>
      </c>
      <c r="U153" s="2" t="inlineStr">
        <is>
          <t>—</t>
        </is>
      </c>
      <c r="V153" s="2" t="inlineStr">
        <is>
          <t>—</t>
        </is>
      </c>
      <c r="W153" s="2" t="inlineStr">
        <is>
          <t>—</t>
        </is>
      </c>
      <c r="X153" s="2" t="inlineStr">
        <is>
          <t>Two-pass cross-sectional regression methodology.</t>
        </is>
      </c>
      <c r="Y153" s="2" t="inlineStr">
        <is>
          <t>—</t>
        </is>
      </c>
      <c r="Z153" s="2" t="inlineStr">
        <is>
          <t>—</t>
        </is>
      </c>
      <c r="AA153" s="2" t="inlineStr">
        <is>
          <t>—</t>
        </is>
      </c>
      <c r="AB153" s="2" t="inlineStr">
        <is>
          <t>—</t>
        </is>
      </c>
      <c r="AC153" s="2" t="inlineStr">
        <is>
          <t>—</t>
        </is>
      </c>
      <c r="AD153" s="3" t="n">
        <v>3</v>
      </c>
      <c r="AE153" s="2" t="inlineStr">
        <is>
          <t>FM combination benchmark and inference.</t>
        </is>
      </c>
      <c r="AF153" s="2" t="inlineStr">
        <is>
          <t>Crossref match (title, author, year, journal)</t>
        </is>
      </c>
    </row>
    <row r="154">
      <c r="A154" s="2" t="inlineStr">
        <is>
          <t>MARK1952</t>
        </is>
      </c>
      <c r="B154" s="2" t="inlineStr">
        <is>
          <t>Portfolio Selection</t>
        </is>
      </c>
      <c r="C154" s="2" t="inlineStr">
        <is>
          <t>Markowitz, H.</t>
        </is>
      </c>
      <c r="D154" s="3" t="n">
        <v>1952</v>
      </c>
      <c r="E154" s="2" t="inlineStr">
        <is>
          <t>Journal of Finance 7(1):77-91</t>
        </is>
      </c>
      <c r="F154" s="2" t="inlineStr">
        <is>
          <t>T1 General Finance</t>
        </is>
      </c>
      <c r="G154" s="4" t="inlineStr">
        <is>
          <t>https://doi.org/10.1111/j.1540-6261.1952.tb01525.x</t>
        </is>
      </c>
      <c r="H154" s="2" t="inlineStr">
        <is>
          <t>Portfolio construction</t>
        </is>
      </c>
      <c r="I154" s="3" t="inlineStr">
        <is>
          <t>No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" t="inlineStr">
        <is>
          <t>—</t>
        </is>
      </c>
      <c r="R154" s="2" t="inlineStr">
        <is>
          <t>—</t>
        </is>
      </c>
      <c r="S154" s="2" t="inlineStr">
        <is>
          <t>—</t>
        </is>
      </c>
      <c r="T154" s="2" t="inlineStr">
        <is>
          <t>—</t>
        </is>
      </c>
      <c r="U154" s="2" t="inlineStr">
        <is>
          <t>—</t>
        </is>
      </c>
      <c r="V154" s="2" t="inlineStr">
        <is>
          <t>—</t>
        </is>
      </c>
      <c r="W154" s="2" t="inlineStr">
        <is>
          <t>—</t>
        </is>
      </c>
      <c r="X154" s="2" t="inlineStr">
        <is>
          <t>Mean-variance portfolio theory.</t>
        </is>
      </c>
      <c r="Y154" s="2" t="inlineStr">
        <is>
          <t>—</t>
        </is>
      </c>
      <c r="Z154" s="2" t="inlineStr">
        <is>
          <t>—</t>
        </is>
      </c>
      <c r="AA154" s="2" t="inlineStr">
        <is>
          <t>—</t>
        </is>
      </c>
      <c r="AB154" s="2" t="inlineStr">
        <is>
          <t>—</t>
        </is>
      </c>
      <c r="AC154" s="2" t="inlineStr">
        <is>
          <t>—</t>
        </is>
      </c>
      <c r="AD154" s="3" t="n">
        <v>3</v>
      </c>
      <c r="AE154" s="2" t="inlineStr">
        <is>
          <t>Optimizer foundation.</t>
        </is>
      </c>
      <c r="AF154" s="2" t="inlineStr">
        <is>
          <t>Publisher record (manual)</t>
        </is>
      </c>
    </row>
    <row r="155">
      <c r="A155" s="2" t="inlineStr">
        <is>
          <t>BBCGT2023</t>
        </is>
      </c>
      <c r="B155" s="2" t="inlineStr">
        <is>
          <t>Option Return Predictability with Machine Learning and Big Data</t>
        </is>
      </c>
      <c r="C155" s="2" t="inlineStr">
        <is>
          <t>Bali, T.G.; Beckmeyer, H.; Moerke, M.; Weigert, F.</t>
        </is>
      </c>
      <c r="D155" s="3" t="n">
        <v>2023</v>
      </c>
      <c r="E155" s="2" t="inlineStr">
        <is>
          <t>Review of Financial Studies 36(9):3548-3602</t>
        </is>
      </c>
      <c r="F155" s="2" t="inlineStr">
        <is>
          <t>T1 General Finance</t>
        </is>
      </c>
      <c r="G155" s="4" t="inlineStr">
        <is>
          <t>https://doi.org/10.1093/rfs/hhad017</t>
        </is>
      </c>
      <c r="H155" s="2" t="inlineStr">
        <is>
          <t>ML asset pricing</t>
        </is>
      </c>
      <c r="I155" s="3" t="inlineStr">
        <is>
          <t>No</t>
        </is>
      </c>
      <c r="J155" s="2" t="inlineStr">
        <is>
          <t>—</t>
        </is>
      </c>
      <c r="K155" s="2" t="inlineStr">
        <is>
          <t>—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—</t>
        </is>
      </c>
      <c r="Q155" s="2" t="inlineStr">
        <is>
          <t>—</t>
        </is>
      </c>
      <c r="R155" s="2" t="inlineStr">
        <is>
          <t>—</t>
        </is>
      </c>
      <c r="S155" s="2" t="inlineStr">
        <is>
          <t>—</t>
        </is>
      </c>
      <c r="T155" s="2" t="inlineStr">
        <is>
          <t>—</t>
        </is>
      </c>
      <c r="U155" s="2" t="inlineStr">
        <is>
          <t>—</t>
        </is>
      </c>
      <c r="V155" s="2" t="inlineStr">
        <is>
          <t>—</t>
        </is>
      </c>
      <c r="W155" s="2" t="inlineStr">
        <is>
          <t>—</t>
        </is>
      </c>
      <c r="X155" s="2" t="inlineStr">
        <is>
          <t>ML predicts delta-hedged option returns using many stock and option characteristics.</t>
        </is>
      </c>
      <c r="Y155" s="2" t="inlineStr">
        <is>
          <t>—</t>
        </is>
      </c>
      <c r="Z155" s="2" t="inlineStr">
        <is>
          <t>—</t>
        </is>
      </c>
      <c r="AA155" s="2" t="inlineStr">
        <is>
          <t>—</t>
        </is>
      </c>
      <c r="AB155" s="2" t="inlineStr">
        <is>
          <t>—</t>
        </is>
      </c>
      <c r="AC155" s="2" t="inlineStr">
        <is>
          <t>—</t>
        </is>
      </c>
      <c r="AD155" s="3" t="n">
        <v>2</v>
      </c>
      <c r="AE155" s="2" t="inlineStr">
        <is>
          <t>Cross-asset generality; option-based signals.</t>
        </is>
      </c>
      <c r="AF155" s="2" t="inlineStr">
        <is>
          <t>Crossref match (title, author, year, journal)</t>
        </is>
      </c>
    </row>
    <row r="156">
      <c r="A156" s="2" t="inlineStr">
        <is>
          <t>DA2023</t>
        </is>
      </c>
      <c r="B156" s="2" t="inlineStr">
        <is>
          <t>DoubleAdapt: A Meta-learning Approach to Incremental Learning for Stock Trend Forecasting</t>
        </is>
      </c>
      <c r="C156" s="2" t="inlineStr">
        <is>
          <t>Zhao, L.; Kong, S.; Shen, Y.</t>
        </is>
      </c>
      <c r="D156" s="3" t="n">
        <v>2023</v>
      </c>
      <c r="E156" s="2" t="inlineStr">
        <is>
          <t>Proceedings of ACM SIGKDD 2023</t>
        </is>
      </c>
      <c r="F156" s="2" t="inlineStr">
        <is>
          <t>ML venue</t>
        </is>
      </c>
      <c r="G156" s="4" t="inlineStr">
        <is>
          <t>https://doi.org/10.1145/3580305.3599315</t>
        </is>
      </c>
      <c r="H156" s="2" t="inlineStr">
        <is>
          <t>ML asset pricing</t>
        </is>
      </c>
      <c r="I156" s="3" t="inlineStr">
        <is>
          <t>No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" t="inlineStr">
        <is>
          <t>—</t>
        </is>
      </c>
      <c r="R156" s="2" t="inlineStr">
        <is>
          <t>—</t>
        </is>
      </c>
      <c r="S156" s="2" t="inlineStr">
        <is>
          <t>—</t>
        </is>
      </c>
      <c r="T156" s="2" t="inlineStr">
        <is>
          <t>—</t>
        </is>
      </c>
      <c r="U156" s="2" t="inlineStr">
        <is>
          <t>—</t>
        </is>
      </c>
      <c r="V156" s="2" t="inlineStr">
        <is>
          <t>—</t>
        </is>
      </c>
      <c r="W156" s="2" t="inlineStr">
        <is>
          <t>—</t>
        </is>
      </c>
      <c r="X156" s="2" t="inlineStr">
        <is>
          <t>Meta-learning data and model adapters for incremental learning under distribution shift in stock forecasting.</t>
        </is>
      </c>
      <c r="Y156" s="2" t="inlineStr">
        <is>
          <t>—</t>
        </is>
      </c>
      <c r="Z156" s="2" t="inlineStr">
        <is>
          <t>—</t>
        </is>
      </c>
      <c r="AA156" s="2" t="inlineStr">
        <is>
          <t>—</t>
        </is>
      </c>
      <c r="AB156" s="2" t="inlineStr">
        <is>
          <t>—</t>
        </is>
      </c>
      <c r="AC156" s="2" t="inlineStr">
        <is>
          <t>—</t>
        </is>
      </c>
      <c r="AD156" s="3" t="n">
        <v>2</v>
      </c>
      <c r="AE156" s="2" t="inlineStr">
        <is>
          <t>ML-venue adaptive baseline; costs not central [inference]. [verify author list]</t>
        </is>
      </c>
      <c r="AF156" s="2" t="inlineStr">
        <is>
          <t>Crossref match (title, author, year, journal)</t>
        </is>
      </c>
    </row>
    <row r="157">
      <c r="A157" s="2" t="inlineStr">
        <is>
          <t>HK2023</t>
        </is>
      </c>
      <c r="B157" s="2" t="inlineStr">
        <is>
          <t>Machine Learning and the Cross-Section of Emerging Market Stock Returns</t>
        </is>
      </c>
      <c r="C157" s="2" t="inlineStr">
        <is>
          <t>Hanauer, M.X.; Kalsbach, T.</t>
        </is>
      </c>
      <c r="D157" s="3" t="n">
        <v>2023</v>
      </c>
      <c r="E157" s="2" t="inlineStr">
        <is>
          <t>Emerging Markets Review 55:101022</t>
        </is>
      </c>
      <c r="F157" s="2" t="inlineStr">
        <is>
          <t>T2 Quant/Field</t>
        </is>
      </c>
      <c r="G157" s="4" t="inlineStr">
        <is>
          <t>https://doi.org/10.1016/j.ememar.2023.101022</t>
        </is>
      </c>
      <c r="H157" s="2" t="inlineStr">
        <is>
          <t>ML asset pricing</t>
        </is>
      </c>
      <c r="I157" s="3" t="inlineStr">
        <is>
          <t>No</t>
        </is>
      </c>
      <c r="J157" s="2" t="inlineStr">
        <is>
          <t>—</t>
        </is>
      </c>
      <c r="K157" s="2" t="inlineStr">
        <is>
          <t>—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—</t>
        </is>
      </c>
      <c r="Q157" s="2" t="inlineStr">
        <is>
          <t>—</t>
        </is>
      </c>
      <c r="R157" s="2" t="inlineStr">
        <is>
          <t>—</t>
        </is>
      </c>
      <c r="S157" s="2" t="inlineStr">
        <is>
          <t>—</t>
        </is>
      </c>
      <c r="T157" s="2" t="inlineStr">
        <is>
          <t>—</t>
        </is>
      </c>
      <c r="U157" s="2" t="inlineStr">
        <is>
          <t>—</t>
        </is>
      </c>
      <c r="V157" s="2" t="inlineStr">
        <is>
          <t>—</t>
        </is>
      </c>
      <c r="W157" s="2" t="inlineStr">
        <is>
          <t>—</t>
        </is>
      </c>
      <c r="X157" s="2" t="inlineStr">
        <is>
          <t>ML return prediction in emerging markets. [verify volume and details]</t>
        </is>
      </c>
      <c r="Y157" s="2" t="inlineStr">
        <is>
          <t>—</t>
        </is>
      </c>
      <c r="Z157" s="2" t="inlineStr">
        <is>
          <t>—</t>
        </is>
      </c>
      <c r="AA157" s="2" t="inlineStr">
        <is>
          <t>—</t>
        </is>
      </c>
      <c r="AB157" s="2" t="inlineStr">
        <is>
          <t>—</t>
        </is>
      </c>
      <c r="AC157" s="2" t="inlineStr">
        <is>
          <t>—</t>
        </is>
      </c>
      <c r="AD157" s="3" t="n">
        <v>2</v>
      </c>
      <c r="AE157" s="2" t="inlineStr">
        <is>
          <t>International robustness.</t>
        </is>
      </c>
      <c r="AF157" s="2" t="inlineStr">
        <is>
          <t>Crossref match (title, author, year, journal)</t>
        </is>
      </c>
    </row>
    <row r="158">
      <c r="A158" s="2" t="inlineStr">
        <is>
          <t>JKX2023</t>
        </is>
      </c>
      <c r="B158" s="2" t="inlineStr">
        <is>
          <t>(Re-)Imag(in)ing Price Trends</t>
        </is>
      </c>
      <c r="C158" s="2" t="inlineStr">
        <is>
          <t>Jiang, J.; Kelly, B.; Xiu, D.</t>
        </is>
      </c>
      <c r="D158" s="3" t="n">
        <v>2023</v>
      </c>
      <c r="E158" s="2" t="inlineStr">
        <is>
          <t>Journal of Finance 78(6):3193-3249</t>
        </is>
      </c>
      <c r="F158" s="2" t="inlineStr">
        <is>
          <t>T1 General Finance</t>
        </is>
      </c>
      <c r="G158" s="4" t="inlineStr">
        <is>
          <t>https://doi.org/10.1111/jofi.13268</t>
        </is>
      </c>
      <c r="H158" s="2" t="inlineStr">
        <is>
          <t>ML asset pricing</t>
        </is>
      </c>
      <c r="I158" s="3" t="inlineStr">
        <is>
          <t>No</t>
        </is>
      </c>
      <c r="J158" s="2" t="inlineStr">
        <is>
          <t>—</t>
        </is>
      </c>
      <c r="K158" s="2" t="inlineStr">
        <is>
          <t>—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—</t>
        </is>
      </c>
      <c r="O158" s="2" t="inlineStr">
        <is>
          <t>—</t>
        </is>
      </c>
      <c r="P158" s="2" t="inlineStr">
        <is>
          <t>—</t>
        </is>
      </c>
      <c r="Q158" s="2" t="inlineStr">
        <is>
          <t>—</t>
        </is>
      </c>
      <c r="R158" s="2" t="inlineStr">
        <is>
          <t>—</t>
        </is>
      </c>
      <c r="S158" s="2" t="inlineStr">
        <is>
          <t>—</t>
        </is>
      </c>
      <c r="T158" s="2" t="inlineStr">
        <is>
          <t>—</t>
        </is>
      </c>
      <c r="U158" s="2" t="inlineStr">
        <is>
          <t>—</t>
        </is>
      </c>
      <c r="V158" s="2" t="inlineStr">
        <is>
          <t>—</t>
        </is>
      </c>
      <c r="W158" s="2" t="inlineStr">
        <is>
          <t>—</t>
        </is>
      </c>
      <c r="X158" s="2" t="inlineStr">
        <is>
          <t>CNNs on stock price-chart images extract predictive price patterns.</t>
        </is>
      </c>
      <c r="Y158" s="2" t="inlineStr">
        <is>
          <t>—</t>
        </is>
      </c>
      <c r="Z158" s="2" t="inlineStr">
        <is>
          <t>—</t>
        </is>
      </c>
      <c r="AA158" s="2" t="inlineStr">
        <is>
          <t>—</t>
        </is>
      </c>
      <c r="AB158" s="2" t="inlineStr">
        <is>
          <t>—</t>
        </is>
      </c>
      <c r="AC158" s="2" t="inlineStr">
        <is>
          <t>—</t>
        </is>
      </c>
      <c r="AD158" s="3" t="n">
        <v>2</v>
      </c>
      <c r="AE158" s="2" t="inlineStr">
        <is>
          <t>Example of new-signal generation, not combination.</t>
        </is>
      </c>
      <c r="AF158" s="2" t="inlineStr">
        <is>
          <t>DOI from publisher page/search; Crossref-confirmed</t>
        </is>
      </c>
    </row>
    <row r="159">
      <c r="A159" s="2" t="inlineStr">
        <is>
          <t>LLT2023</t>
        </is>
      </c>
      <c r="B159" s="2" t="inlineStr">
        <is>
          <t>Can ChatGPT Forecast Stock Price Movements? Return Predictability and Large Language Models</t>
        </is>
      </c>
      <c r="C159" s="2" t="inlineStr">
        <is>
          <t>Lopez-Lira, A.; Tang, Y.</t>
        </is>
      </c>
      <c r="D159" s="3" t="n">
        <v>2023</v>
      </c>
      <c r="E159" s="2" t="inlineStr">
        <is>
          <t>Working paper (arXiv 2304.07619; SSRN 4412788); reported forthcoming in JFE [verify]</t>
        </is>
      </c>
      <c r="F159" s="2" t="inlineStr">
        <is>
          <t>WP</t>
        </is>
      </c>
      <c r="G159" s="2" t="inlineStr"/>
      <c r="H159" s="2" t="inlineStr">
        <is>
          <t>ML asset pricing</t>
        </is>
      </c>
      <c r="I159" s="3" t="inlineStr">
        <is>
          <t>No</t>
        </is>
      </c>
      <c r="J159" s="2" t="inlineStr">
        <is>
          <t>—</t>
        </is>
      </c>
      <c r="K159" s="2" t="inlineStr">
        <is>
          <t>—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—</t>
        </is>
      </c>
      <c r="O159" s="2" t="inlineStr">
        <is>
          <t>—</t>
        </is>
      </c>
      <c r="P159" s="2" t="inlineStr">
        <is>
          <t>—</t>
        </is>
      </c>
      <c r="Q159" s="2" t="inlineStr">
        <is>
          <t>—</t>
        </is>
      </c>
      <c r="R159" s="2" t="inlineStr">
        <is>
          <t>—</t>
        </is>
      </c>
      <c r="S159" s="2" t="inlineStr">
        <is>
          <t>—</t>
        </is>
      </c>
      <c r="T159" s="2" t="inlineStr">
        <is>
          <t>—</t>
        </is>
      </c>
      <c r="U159" s="2" t="inlineStr">
        <is>
          <t>—</t>
        </is>
      </c>
      <c r="V159" s="2" t="inlineStr">
        <is>
          <t>—</t>
        </is>
      </c>
      <c r="W159" s="2" t="inlineStr">
        <is>
          <t>—</t>
        </is>
      </c>
      <c r="X159" s="2" t="inlineStr">
        <is>
          <t>LLM news scores predict next-day returns and drift, especially small stocks and negative news; returns decline as LLM adoption rises.</t>
        </is>
      </c>
      <c r="Y159" s="2" t="inlineStr">
        <is>
          <t>—</t>
        </is>
      </c>
      <c r="Z159" s="2" t="inlineStr">
        <is>
          <t>—</t>
        </is>
      </c>
      <c r="AA159" s="2" t="inlineStr">
        <is>
          <t>—</t>
        </is>
      </c>
      <c r="AB159" s="2" t="inlineStr">
        <is>
          <t>—</t>
        </is>
      </c>
      <c r="AC159" s="2" t="inlineStr">
        <is>
          <t>—</t>
        </is>
      </c>
      <c r="AD159" s="3" t="n">
        <v>2</v>
      </c>
      <c r="AE159" s="2" t="inlineStr">
        <is>
          <t>Text-signal candidate; fast decay implies high costs [inference].</t>
        </is>
      </c>
      <c r="AF159" s="2" t="inlineStr">
        <is>
          <t>Working paper (journal DOI not available/verified)</t>
        </is>
      </c>
    </row>
    <row r="160">
      <c r="A160" s="2" t="inlineStr">
        <is>
          <t>VBHL2023</t>
        </is>
      </c>
      <c r="B160" s="2" t="inlineStr">
        <is>
          <t>Man versus Machine Learning: The Term Structure of Earnings Expectations and Conditional Biases</t>
        </is>
      </c>
      <c r="C160" s="2" t="inlineStr">
        <is>
          <t>van Binsbergen, J.H.; Han, X.; Lopez-Lira, A.</t>
        </is>
      </c>
      <c r="D160" s="3" t="n">
        <v>2023</v>
      </c>
      <c r="E160" s="2" t="inlineStr">
        <is>
          <t>Review of Financial Studies 36(6):2361-2396</t>
        </is>
      </c>
      <c r="F160" s="2" t="inlineStr">
        <is>
          <t>T1 General Finance</t>
        </is>
      </c>
      <c r="G160" s="4" t="inlineStr">
        <is>
          <t>https://doi.org/10.1093/rfs/hhac085</t>
        </is>
      </c>
      <c r="H160" s="2" t="inlineStr">
        <is>
          <t>ML asset pricing</t>
        </is>
      </c>
      <c r="I160" s="3" t="inlineStr">
        <is>
          <t>No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" t="inlineStr">
        <is>
          <t>—</t>
        </is>
      </c>
      <c r="R160" s="2" t="inlineStr">
        <is>
          <t>—</t>
        </is>
      </c>
      <c r="S160" s="2" t="inlineStr">
        <is>
          <t>—</t>
        </is>
      </c>
      <c r="T160" s="2" t="inlineStr">
        <is>
          <t>—</t>
        </is>
      </c>
      <c r="U160" s="2" t="inlineStr">
        <is>
          <t>—</t>
        </is>
      </c>
      <c r="V160" s="2" t="inlineStr">
        <is>
          <t>—</t>
        </is>
      </c>
      <c r="W160" s="2" t="inlineStr">
        <is>
          <t>—</t>
        </is>
      </c>
      <c r="X160" s="2" t="inlineStr">
        <is>
          <t>Random-forest earnings forecasts reveal conditional analyst biases that predict returns.</t>
        </is>
      </c>
      <c r="Y160" s="2" t="inlineStr">
        <is>
          <t>—</t>
        </is>
      </c>
      <c r="Z160" s="2" t="inlineStr">
        <is>
          <t>—</t>
        </is>
      </c>
      <c r="AA160" s="2" t="inlineStr">
        <is>
          <t>—</t>
        </is>
      </c>
      <c r="AB160" s="2" t="inlineStr">
        <is>
          <t>—</t>
        </is>
      </c>
      <c r="AC160" s="2" t="inlineStr">
        <is>
          <t>—</t>
        </is>
      </c>
      <c r="AD160" s="3" t="n">
        <v>2</v>
      </c>
      <c r="AE160" s="2" t="inlineStr">
        <is>
          <t>ML-generated signal example.</t>
        </is>
      </c>
      <c r="AF160" s="2" t="inlineStr">
        <is>
          <t>Crossref match (title, author, year, journal)</t>
        </is>
      </c>
    </row>
    <row r="161">
      <c r="A161" s="2" t="inlineStr">
        <is>
          <t>DLRZ2022</t>
        </is>
      </c>
      <c r="B161" s="2" t="inlineStr">
        <is>
          <t>Anomalies and the Expected Market Return</t>
        </is>
      </c>
      <c r="C161" s="2" t="inlineStr">
        <is>
          <t>Dong, X.; Li, Y.; Rapach, D.E.; Zhou, G.</t>
        </is>
      </c>
      <c r="D161" s="3" t="n">
        <v>2022</v>
      </c>
      <c r="E161" s="2" t="inlineStr">
        <is>
          <t>Journal of Finance 77(1):639-681</t>
        </is>
      </c>
      <c r="F161" s="2" t="inlineStr">
        <is>
          <t>T1 General Finance</t>
        </is>
      </c>
      <c r="G161" s="4" t="inlineStr">
        <is>
          <t>https://doi.org/10.1111/jofi.13099</t>
        </is>
      </c>
      <c r="H161" s="2" t="inlineStr">
        <is>
          <t>Factor timing &amp; regimes</t>
        </is>
      </c>
      <c r="I161" s="3" t="inlineStr">
        <is>
          <t>No</t>
        </is>
      </c>
      <c r="J161" s="2" t="inlineStr">
        <is>
          <t>—</t>
        </is>
      </c>
      <c r="K161" s="2" t="inlineStr">
        <is>
          <t>—</t>
        </is>
      </c>
      <c r="L161" s="2" t="inlineStr">
        <is>
          <t>—</t>
        </is>
      </c>
      <c r="M161" s="2" t="inlineStr">
        <is>
          <t>—</t>
        </is>
      </c>
      <c r="N161" s="2" t="inlineStr">
        <is>
          <t>—</t>
        </is>
      </c>
      <c r="O161" s="2" t="inlineStr">
        <is>
          <t>—</t>
        </is>
      </c>
      <c r="P161" s="2" t="inlineStr">
        <is>
          <t>—</t>
        </is>
      </c>
      <c r="Q161" s="2" t="inlineStr">
        <is>
          <t>—</t>
        </is>
      </c>
      <c r="R161" s="2" t="inlineStr">
        <is>
          <t>—</t>
        </is>
      </c>
      <c r="S161" s="2" t="inlineStr">
        <is>
          <t>—</t>
        </is>
      </c>
      <c r="T161" s="2" t="inlineStr">
        <is>
          <t>—</t>
        </is>
      </c>
      <c r="U161" s="2" t="inlineStr">
        <is>
          <t>—</t>
        </is>
      </c>
      <c r="V161" s="2" t="inlineStr">
        <is>
          <t>—</t>
        </is>
      </c>
      <c r="W161" s="2" t="inlineStr">
        <is>
          <t>—</t>
        </is>
      </c>
      <c r="X161" s="2" t="inlineStr">
        <is>
          <t>100 anomaly portfolio returns jointly predict the market return out of sample via shrinkage.</t>
        </is>
      </c>
      <c r="Y161" s="2" t="inlineStr">
        <is>
          <t>—</t>
        </is>
      </c>
      <c r="Z161" s="2" t="inlineStr">
        <is>
          <t>—</t>
        </is>
      </c>
      <c r="AA161" s="2" t="inlineStr">
        <is>
          <t>—</t>
        </is>
      </c>
      <c r="AB161" s="2" t="inlineStr">
        <is>
          <t>—</t>
        </is>
      </c>
      <c r="AC161" s="2" t="inlineStr">
        <is>
          <t>—</t>
        </is>
      </c>
      <c r="AD161" s="3" t="n">
        <v>2</v>
      </c>
      <c r="AE161" s="2" t="inlineStr">
        <is>
          <t>Link between anomalies and aggregate state.</t>
        </is>
      </c>
      <c r="AF161" s="2" t="inlineStr">
        <is>
          <t>DOI from publisher page/search; Crossref-confirmed</t>
        </is>
      </c>
    </row>
    <row r="162">
      <c r="A162" s="2" t="inlineStr">
        <is>
          <t>WGRZ2022</t>
        </is>
      </c>
      <c r="B162" s="2" t="inlineStr">
        <is>
          <t>Trading with the Momentum Transformer: An Intelligent and Interpretable Architecture</t>
        </is>
      </c>
      <c r="C162" s="2" t="inlineStr">
        <is>
          <t>Wood, K.; Giegerich, S.; Roberts, S.; Zohren, S.</t>
        </is>
      </c>
      <c r="D162" s="3" t="n">
        <v>2022</v>
      </c>
      <c r="E162" s="2" t="inlineStr">
        <is>
          <t>arXiv 2112.08534 [verify journal version]</t>
        </is>
      </c>
      <c r="F162" s="2" t="inlineStr">
        <is>
          <t>WP</t>
        </is>
      </c>
      <c r="G162" s="2" t="inlineStr"/>
      <c r="H162" s="2" t="inlineStr">
        <is>
          <t>End-to-end / decision-focused</t>
        </is>
      </c>
      <c r="I162" s="3" t="inlineStr">
        <is>
          <t>No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" t="inlineStr">
        <is>
          <t>—</t>
        </is>
      </c>
      <c r="R162" s="2" t="inlineStr">
        <is>
          <t>—</t>
        </is>
      </c>
      <c r="S162" s="2" t="inlineStr">
        <is>
          <t>—</t>
        </is>
      </c>
      <c r="T162" s="2" t="inlineStr">
        <is>
          <t>—</t>
        </is>
      </c>
      <c r="U162" s="2" t="inlineStr">
        <is>
          <t>—</t>
        </is>
      </c>
      <c r="V162" s="2" t="inlineStr">
        <is>
          <t>—</t>
        </is>
      </c>
      <c r="W162" s="2" t="inlineStr">
        <is>
          <t>—</t>
        </is>
      </c>
      <c r="X162" s="2" t="inlineStr">
        <is>
          <t>Attention-based architecture for time-series momentum with interpretable attention patterns and regime adaptation.</t>
        </is>
      </c>
      <c r="Y162" s="2" t="inlineStr">
        <is>
          <t>—</t>
        </is>
      </c>
      <c r="Z162" s="2" t="inlineStr">
        <is>
          <t>—</t>
        </is>
      </c>
      <c r="AA162" s="2" t="inlineStr">
        <is>
          <t>—</t>
        </is>
      </c>
      <c r="AB162" s="2" t="inlineStr">
        <is>
          <t>—</t>
        </is>
      </c>
      <c r="AC162" s="2" t="inlineStr">
        <is>
          <t>—</t>
        </is>
      </c>
      <c r="AD162" s="3" t="n">
        <v>2</v>
      </c>
      <c r="AE162" s="2" t="inlineStr">
        <is>
          <t>Attention interpretability example.</t>
        </is>
      </c>
      <c r="AF162" s="2" t="inlineStr">
        <is>
          <t>Working paper (journal DOI not available/verified)</t>
        </is>
      </c>
    </row>
    <row r="163">
      <c r="A163" s="2" t="inlineStr">
        <is>
          <t>BBT2021</t>
        </is>
      </c>
      <c r="B163" s="2" t="inlineStr">
        <is>
          <t>Bond Risk Premiums with Machine Learning</t>
        </is>
      </c>
      <c r="C163" s="2" t="inlineStr">
        <is>
          <t>Bianchi, D.; Buchner, M.; Tamoni, A.</t>
        </is>
      </c>
      <c r="D163" s="3" t="n">
        <v>2021</v>
      </c>
      <c r="E163" s="2" t="inlineStr">
        <is>
          <t>Review of Financial Studies 34(2):1046-1089</t>
        </is>
      </c>
      <c r="F163" s="2" t="inlineStr">
        <is>
          <t>T1 General Finance</t>
        </is>
      </c>
      <c r="G163" s="4" t="inlineStr">
        <is>
          <t>https://doi.org/10.1093/rfs/hhaa062</t>
        </is>
      </c>
      <c r="H163" s="2" t="inlineStr">
        <is>
          <t>ML asset pricing</t>
        </is>
      </c>
      <c r="I163" s="3" t="inlineStr">
        <is>
          <t>No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—</t>
        </is>
      </c>
      <c r="O163" s="2" t="inlineStr">
        <is>
          <t>—</t>
        </is>
      </c>
      <c r="P163" s="2" t="inlineStr">
        <is>
          <t>—</t>
        </is>
      </c>
      <c r="Q163" s="2" t="inlineStr">
        <is>
          <t>—</t>
        </is>
      </c>
      <c r="R163" s="2" t="inlineStr">
        <is>
          <t>—</t>
        </is>
      </c>
      <c r="S163" s="2" t="inlineStr">
        <is>
          <t>—</t>
        </is>
      </c>
      <c r="T163" s="2" t="inlineStr">
        <is>
          <t>—</t>
        </is>
      </c>
      <c r="U163" s="2" t="inlineStr">
        <is>
          <t>—</t>
        </is>
      </c>
      <c r="V163" s="2" t="inlineStr">
        <is>
          <t>—</t>
        </is>
      </c>
      <c r="W163" s="2" t="inlineStr">
        <is>
          <t>—</t>
        </is>
      </c>
      <c r="X163" s="2" t="inlineStr">
        <is>
          <t>ML (especially neural nets) predicts bond excess returns out of sample.</t>
        </is>
      </c>
      <c r="Y163" s="2" t="inlineStr">
        <is>
          <t>—</t>
        </is>
      </c>
      <c r="Z163" s="2" t="inlineStr">
        <is>
          <t>—</t>
        </is>
      </c>
      <c r="AA163" s="2" t="inlineStr">
        <is>
          <t>—</t>
        </is>
      </c>
      <c r="AB163" s="2" t="inlineStr">
        <is>
          <t>—</t>
        </is>
      </c>
      <c r="AC163" s="2" t="inlineStr">
        <is>
          <t>—</t>
        </is>
      </c>
      <c r="AD163" s="3" t="n">
        <v>2</v>
      </c>
      <c r="AE163" s="2" t="inlineStr">
        <is>
          <t>Cross-asset generality.</t>
        </is>
      </c>
      <c r="AF163" s="2" t="inlineStr">
        <is>
          <t>Crossref match (title, author, year, journal)</t>
        </is>
      </c>
    </row>
    <row r="164">
      <c r="A164" s="2" t="inlineStr">
        <is>
          <t>CHEN2021</t>
        </is>
      </c>
      <c r="B164" s="2" t="inlineStr">
        <is>
          <t>The Limits of p-Hacking: Some Thought Experiments</t>
        </is>
      </c>
      <c r="C164" s="2" t="inlineStr">
        <is>
          <t>Chen, A.Y.</t>
        </is>
      </c>
      <c r="D164" s="3" t="n">
        <v>2021</v>
      </c>
      <c r="E164" s="2" t="inlineStr">
        <is>
          <t>Journal of Finance 76(5):2447-2480</t>
        </is>
      </c>
      <c r="F164" s="2" t="inlineStr">
        <is>
          <t>T1 General Finance</t>
        </is>
      </c>
      <c r="G164" s="2" t="inlineStr"/>
      <c r="H164" s="2" t="inlineStr">
        <is>
          <t>Replication &amp; multiple testing</t>
        </is>
      </c>
      <c r="I164" s="3" t="inlineStr">
        <is>
          <t>No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" t="inlineStr">
        <is>
          <t>—</t>
        </is>
      </c>
      <c r="R164" s="2" t="inlineStr">
        <is>
          <t>—</t>
        </is>
      </c>
      <c r="S164" s="2" t="inlineStr">
        <is>
          <t>—</t>
        </is>
      </c>
      <c r="T164" s="2" t="inlineStr">
        <is>
          <t>—</t>
        </is>
      </c>
      <c r="U164" s="2" t="inlineStr">
        <is>
          <t>—</t>
        </is>
      </c>
      <c r="V164" s="2" t="inlineStr">
        <is>
          <t>—</t>
        </is>
      </c>
      <c r="W164" s="2" t="inlineStr">
        <is>
          <t>—</t>
        </is>
      </c>
      <c r="X164" s="2" t="inlineStr">
        <is>
          <t>p-hacking cannot plausibly explain the volume of significant anomaly t-statistics.</t>
        </is>
      </c>
      <c r="Y164" s="2" t="inlineStr">
        <is>
          <t>—</t>
        </is>
      </c>
      <c r="Z164" s="2" t="inlineStr">
        <is>
          <t>—</t>
        </is>
      </c>
      <c r="AA164" s="2" t="inlineStr">
        <is>
          <t>—</t>
        </is>
      </c>
      <c r="AB164" s="2" t="inlineStr">
        <is>
          <t>—</t>
        </is>
      </c>
      <c r="AC164" s="2" t="inlineStr">
        <is>
          <t>—</t>
        </is>
      </c>
      <c r="AD164" s="3" t="n">
        <v>2</v>
      </c>
      <c r="AE164" s="2" t="inlineStr">
        <is>
          <t>Balances HLZ2016 pessimism.</t>
        </is>
      </c>
      <c r="AF164" s="2" t="inlineStr">
        <is>
          <t>No DOI verified</t>
        </is>
      </c>
    </row>
    <row r="165">
      <c r="A165" s="2" t="inlineStr">
        <is>
          <t>KMP2021</t>
        </is>
      </c>
      <c r="B165" s="2" t="inlineStr">
        <is>
          <t>Understanding Momentum and Reversal</t>
        </is>
      </c>
      <c r="C165" s="2" t="inlineStr">
        <is>
          <t>Kelly, B.; Moskowitz, T.J.; Pruitt, S.</t>
        </is>
      </c>
      <c r="D165" s="3" t="n">
        <v>2021</v>
      </c>
      <c r="E165" s="2" t="inlineStr">
        <is>
          <t>Journal of Financial Economics 140(3):726-743</t>
        </is>
      </c>
      <c r="F165" s="2" t="inlineStr">
        <is>
          <t>T1 General Finance</t>
        </is>
      </c>
      <c r="G165" s="4" t="inlineStr">
        <is>
          <t>https://doi.org/10.1016/j.jfineco.2020.06.024</t>
        </is>
      </c>
      <c r="H165" s="2" t="inlineStr">
        <is>
          <t>ML asset pricing</t>
        </is>
      </c>
      <c r="I165" s="3" t="inlineStr">
        <is>
          <t>No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—</t>
        </is>
      </c>
      <c r="O165" s="2" t="inlineStr">
        <is>
          <t>—</t>
        </is>
      </c>
      <c r="P165" s="2" t="inlineStr">
        <is>
          <t>—</t>
        </is>
      </c>
      <c r="Q165" s="2" t="inlineStr">
        <is>
          <t>—</t>
        </is>
      </c>
      <c r="R165" s="2" t="inlineStr">
        <is>
          <t>—</t>
        </is>
      </c>
      <c r="S165" s="2" t="inlineStr">
        <is>
          <t>—</t>
        </is>
      </c>
      <c r="T165" s="2" t="inlineStr">
        <is>
          <t>—</t>
        </is>
      </c>
      <c r="U165" s="2" t="inlineStr">
        <is>
          <t>—</t>
        </is>
      </c>
      <c r="V165" s="2" t="inlineStr">
        <is>
          <t>—</t>
        </is>
      </c>
      <c r="W165" s="2" t="inlineStr">
        <is>
          <t>—</t>
        </is>
      </c>
      <c r="X165" s="2" t="inlineStr">
        <is>
          <t>Conditional (IPCA) risk explains momentum and reversal via time-varying exposures.</t>
        </is>
      </c>
      <c r="Y165" s="2" t="inlineStr">
        <is>
          <t>—</t>
        </is>
      </c>
      <c r="Z165" s="2" t="inlineStr">
        <is>
          <t>—</t>
        </is>
      </c>
      <c r="AA165" s="2" t="inlineStr">
        <is>
          <t>—</t>
        </is>
      </c>
      <c r="AB165" s="2" t="inlineStr">
        <is>
          <t>—</t>
        </is>
      </c>
      <c r="AC165" s="2" t="inlineStr">
        <is>
          <t>—</t>
        </is>
      </c>
      <c r="AD165" s="3" t="n">
        <v>2</v>
      </c>
      <c r="AE165" s="2" t="inlineStr">
        <is>
          <t>Interpretation of momentum-type signals.</t>
        </is>
      </c>
      <c r="AF165" s="2" t="inlineStr">
        <is>
          <t>Crossref match (title, author, year, journal)</t>
        </is>
      </c>
    </row>
    <row r="166">
      <c r="A166" s="2" t="inlineStr">
        <is>
          <t>LP2020</t>
        </is>
      </c>
      <c r="B166" s="2" t="inlineStr">
        <is>
          <t>Factors That Fit the Time Series and Cross-Section of Stock Returns</t>
        </is>
      </c>
      <c r="C166" s="2" t="inlineStr">
        <is>
          <t>Lettau, M.; Pelger, M.</t>
        </is>
      </c>
      <c r="D166" s="3" t="n">
        <v>2020</v>
      </c>
      <c r="E166" s="2" t="inlineStr">
        <is>
          <t>Review of Financial Studies 33(5):2274-2325</t>
        </is>
      </c>
      <c r="F166" s="2" t="inlineStr">
        <is>
          <t>T1 General Finance</t>
        </is>
      </c>
      <c r="G166" s="4" t="inlineStr">
        <is>
          <t>https://doi.org/10.1093/rfs/hhaa020</t>
        </is>
      </c>
      <c r="H166" s="2" t="inlineStr">
        <is>
          <t>ML asset pricing</t>
        </is>
      </c>
      <c r="I166" s="3" t="inlineStr">
        <is>
          <t>No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" t="inlineStr">
        <is>
          <t>—</t>
        </is>
      </c>
      <c r="R166" s="2" t="inlineStr">
        <is>
          <t>—</t>
        </is>
      </c>
      <c r="S166" s="2" t="inlineStr">
        <is>
          <t>—</t>
        </is>
      </c>
      <c r="T166" s="2" t="inlineStr">
        <is>
          <t>—</t>
        </is>
      </c>
      <c r="U166" s="2" t="inlineStr">
        <is>
          <t>—</t>
        </is>
      </c>
      <c r="V166" s="2" t="inlineStr">
        <is>
          <t>—</t>
        </is>
      </c>
      <c r="W166" s="2" t="inlineStr">
        <is>
          <t>—</t>
        </is>
      </c>
      <c r="X166" s="2" t="inlineStr">
        <is>
          <t>RP-PCA estimates factors that price the cross-section by penalising pricing errors.</t>
        </is>
      </c>
      <c r="Y166" s="2" t="inlineStr">
        <is>
          <t>—</t>
        </is>
      </c>
      <c r="Z166" s="2" t="inlineStr">
        <is>
          <t>—</t>
        </is>
      </c>
      <c r="AA166" s="2" t="inlineStr">
        <is>
          <t>—</t>
        </is>
      </c>
      <c r="AB166" s="2" t="inlineStr">
        <is>
          <t>—</t>
        </is>
      </c>
      <c r="AC166" s="2" t="inlineStr">
        <is>
          <t>—</t>
        </is>
      </c>
      <c r="AD166" s="3" t="n">
        <v>2</v>
      </c>
      <c r="AE166" s="2" t="inlineStr">
        <is>
          <t>Dimension-reduction benchmark for signals.</t>
        </is>
      </c>
      <c r="AF166" s="2" t="inlineStr">
        <is>
          <t>Crossref match (title, author, year, journal)</t>
        </is>
      </c>
    </row>
    <row r="167">
      <c r="A167" s="2" t="inlineStr">
        <is>
          <t>LT2020</t>
        </is>
      </c>
      <c r="B167" s="2" t="inlineStr">
        <is>
          <t>What Drives Anomaly Returns?</t>
        </is>
      </c>
      <c r="C167" s="2" t="inlineStr">
        <is>
          <t>Lochstoer, L.A.; Tetlock, P.C.</t>
        </is>
      </c>
      <c r="D167" s="3" t="n">
        <v>2020</v>
      </c>
      <c r="E167" s="2" t="inlineStr">
        <is>
          <t>Journal of Finance 75(3):1417-1455</t>
        </is>
      </c>
      <c r="F167" s="2" t="inlineStr">
        <is>
          <t>T1 General Finance</t>
        </is>
      </c>
      <c r="G167" s="4" t="inlineStr">
        <is>
          <t>https://doi.org/10.1111/jofi.12876</t>
        </is>
      </c>
      <c r="H167" s="2" t="inlineStr">
        <is>
          <t>Factor timing &amp; regimes</t>
        </is>
      </c>
      <c r="I167" s="3" t="inlineStr">
        <is>
          <t>No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—</t>
        </is>
      </c>
      <c r="O167" s="2" t="inlineStr">
        <is>
          <t>—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—</t>
        </is>
      </c>
      <c r="S167" s="2" t="inlineStr">
        <is>
          <t>—</t>
        </is>
      </c>
      <c r="T167" s="2" t="inlineStr">
        <is>
          <t>—</t>
        </is>
      </c>
      <c r="U167" s="2" t="inlineStr">
        <is>
          <t>—</t>
        </is>
      </c>
      <c r="V167" s="2" t="inlineStr">
        <is>
          <t>—</t>
        </is>
      </c>
      <c r="W167" s="2" t="inlineStr">
        <is>
          <t>—</t>
        </is>
      </c>
      <c r="X167" s="2" t="inlineStr">
        <is>
          <t>Decomposes anomaly returns into cash-flow and discount-rate news.</t>
        </is>
      </c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>
        <is>
          <t>—</t>
        </is>
      </c>
      <c r="AC167" s="2" t="inlineStr">
        <is>
          <t>—</t>
        </is>
      </c>
      <c r="AD167" s="3" t="n">
        <v>2</v>
      </c>
      <c r="AE167" s="2" t="inlineStr">
        <is>
          <t>Economic interpretation.</t>
        </is>
      </c>
      <c r="AF167" s="2" t="inlineStr">
        <is>
          <t>Crossref match (title, author, year, journal)</t>
        </is>
      </c>
    </row>
    <row r="168">
      <c r="A168" s="2" t="inlineStr">
        <is>
          <t>ZZR2020</t>
        </is>
      </c>
      <c r="B168" s="2" t="inlineStr">
        <is>
          <t>Deep Learning for Portfolio Optimization</t>
        </is>
      </c>
      <c r="C168" s="2" t="inlineStr">
        <is>
          <t>Zhang, Z.; Zohren, S.; Roberts, S.</t>
        </is>
      </c>
      <c r="D168" s="3" t="n">
        <v>2020</v>
      </c>
      <c r="E168" s="2" t="inlineStr">
        <is>
          <t>Journal of Financial Data Science 2(4):8-20</t>
        </is>
      </c>
      <c r="F168" s="2" t="inlineStr">
        <is>
          <t>T3 Practitioner</t>
        </is>
      </c>
      <c r="G168" s="4" t="inlineStr">
        <is>
          <t>https://doi.org/10.3905/jfds.2020.1.042</t>
        </is>
      </c>
      <c r="H168" s="2" t="inlineStr">
        <is>
          <t>End-to-end / decision-focused</t>
        </is>
      </c>
      <c r="I168" s="3" t="inlineStr">
        <is>
          <t>No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" t="inlineStr">
        <is>
          <t>—</t>
        </is>
      </c>
      <c r="R168" s="2" t="inlineStr">
        <is>
          <t>—</t>
        </is>
      </c>
      <c r="S168" s="2" t="inlineStr">
        <is>
          <t>—</t>
        </is>
      </c>
      <c r="T168" s="2" t="inlineStr">
        <is>
          <t>—</t>
        </is>
      </c>
      <c r="U168" s="2" t="inlineStr">
        <is>
          <t>—</t>
        </is>
      </c>
      <c r="V168" s="2" t="inlineStr">
        <is>
          <t>—</t>
        </is>
      </c>
      <c r="W168" s="2" t="inlineStr">
        <is>
          <t>—</t>
        </is>
      </c>
      <c r="X168" s="2" t="inlineStr">
        <is>
          <t>LSTM directly maximises portfolio Sharpe on market-index ETFs; best performance 2011-April 2020.</t>
        </is>
      </c>
      <c r="Y168" s="2" t="inlineStr">
        <is>
          <t>—</t>
        </is>
      </c>
      <c r="Z168" s="2" t="inlineStr">
        <is>
          <t>—</t>
        </is>
      </c>
      <c r="AA168" s="2" t="inlineStr">
        <is>
          <t>—</t>
        </is>
      </c>
      <c r="AB168" s="2" t="inlineStr">
        <is>
          <t>—</t>
        </is>
      </c>
      <c r="AC168" s="2" t="inlineStr">
        <is>
          <t>—</t>
        </is>
      </c>
      <c r="AD168" s="3" t="n">
        <v>2</v>
      </c>
      <c r="AE168" s="2" t="inlineStr">
        <is>
          <t>Small-universe direct optimisation.</t>
        </is>
      </c>
      <c r="AF168" s="2" t="inlineStr">
        <is>
          <t>Crossref match (title, author, year, journal)</t>
        </is>
      </c>
    </row>
    <row r="169">
      <c r="A169" s="2" t="inlineStr">
        <is>
          <t>CCY2019</t>
        </is>
      </c>
      <c r="B169" s="2" t="inlineStr">
        <is>
          <t>Sparse Signals in the Cross-Section of Returns</t>
        </is>
      </c>
      <c r="C169" s="2" t="inlineStr">
        <is>
          <t>Chinco, A.; Clark-Joseph, A.D.; Ye, M.</t>
        </is>
      </c>
      <c r="D169" s="3" t="n">
        <v>2019</v>
      </c>
      <c r="E169" s="2" t="inlineStr">
        <is>
          <t>Journal of Finance 74(1):449-492</t>
        </is>
      </c>
      <c r="F169" s="2" t="inlineStr">
        <is>
          <t>T1 General Finance</t>
        </is>
      </c>
      <c r="G169" s="4" t="inlineStr">
        <is>
          <t>https://doi.org/10.1111/jofi.12733</t>
        </is>
      </c>
      <c r="H169" s="2" t="inlineStr">
        <is>
          <t>ML asset pricing</t>
        </is>
      </c>
      <c r="I169" s="3" t="inlineStr">
        <is>
          <t>No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—</t>
        </is>
      </c>
      <c r="O169" s="2" t="inlineStr">
        <is>
          <t>—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—</t>
        </is>
      </c>
      <c r="S169" s="2" t="inlineStr">
        <is>
          <t>—</t>
        </is>
      </c>
      <c r="T169" s="2" t="inlineStr">
        <is>
          <t>—</t>
        </is>
      </c>
      <c r="U169" s="2" t="inlineStr">
        <is>
          <t>—</t>
        </is>
      </c>
      <c r="V169" s="2" t="inlineStr">
        <is>
          <t>—</t>
        </is>
      </c>
      <c r="W169" s="2" t="inlineStr">
        <is>
          <t>—</t>
        </is>
      </c>
      <c r="X169" s="2" t="inlineStr">
        <is>
          <t>LASSO at high frequency finds sparse, short-lived, unexpected predictors across stocks.</t>
        </is>
      </c>
      <c r="Y169" s="2" t="inlineStr">
        <is>
          <t>—</t>
        </is>
      </c>
      <c r="Z169" s="2" t="inlineStr">
        <is>
          <t>—</t>
        </is>
      </c>
      <c r="AA169" s="2" t="inlineStr">
        <is>
          <t>—</t>
        </is>
      </c>
      <c r="AB169" s="2" t="inlineStr">
        <is>
          <t>—</t>
        </is>
      </c>
      <c r="AC169" s="2" t="inlineStr">
        <is>
          <t>—</t>
        </is>
      </c>
      <c r="AD169" s="3" t="n">
        <v>2</v>
      </c>
      <c r="AE169" s="2" t="inlineStr">
        <is>
          <t>Fast-decaying signals are costly to trade [inference].</t>
        </is>
      </c>
      <c r="AF169" s="2" t="inlineStr">
        <is>
          <t>Crossref match (title, author, year, journal)</t>
        </is>
      </c>
    </row>
    <row r="170">
      <c r="A170" s="2" t="inlineStr">
        <is>
          <t>LZR2019</t>
        </is>
      </c>
      <c r="B170" s="2" t="inlineStr">
        <is>
          <t>Enhancing Time-Series Momentum Strategies Using Deep Neural Networks</t>
        </is>
      </c>
      <c r="C170" s="2" t="inlineStr">
        <is>
          <t>Lim, B.; Zohren, S.; Roberts, S.</t>
        </is>
      </c>
      <c r="D170" s="3" t="n">
        <v>2019</v>
      </c>
      <c r="E170" s="2" t="inlineStr">
        <is>
          <t>Journal of Financial Data Science 1(4):19-38</t>
        </is>
      </c>
      <c r="F170" s="2" t="inlineStr">
        <is>
          <t>T3 Practitioner</t>
        </is>
      </c>
      <c r="G170" s="4" t="inlineStr">
        <is>
          <t>https://doi.org/10.3905/jfds.2019.1.015</t>
        </is>
      </c>
      <c r="H170" s="2" t="inlineStr">
        <is>
          <t>End-to-end / decision-focused</t>
        </is>
      </c>
      <c r="I170" s="3" t="inlineStr">
        <is>
          <t>No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" t="inlineStr">
        <is>
          <t>—</t>
        </is>
      </c>
      <c r="R170" s="2" t="inlineStr">
        <is>
          <t>—</t>
        </is>
      </c>
      <c r="S170" s="2" t="inlineStr">
        <is>
          <t>—</t>
        </is>
      </c>
      <c r="T170" s="2" t="inlineStr">
        <is>
          <t>—</t>
        </is>
      </c>
      <c r="U170" s="2" t="inlineStr">
        <is>
          <t>—</t>
        </is>
      </c>
      <c r="V170" s="2" t="inlineStr">
        <is>
          <t>—</t>
        </is>
      </c>
      <c r="W170" s="2" t="inlineStr">
        <is>
          <t>—</t>
        </is>
      </c>
      <c r="X170" s="2" t="inlineStr">
        <is>
          <t>Deep momentum networks trained on Sharpe loss with turnover regularisation.</t>
        </is>
      </c>
      <c r="Y170" s="2" t="inlineStr">
        <is>
          <t>—</t>
        </is>
      </c>
      <c r="Z170" s="2" t="inlineStr">
        <is>
          <t>—</t>
        </is>
      </c>
      <c r="AA170" s="2" t="inlineStr">
        <is>
          <t>—</t>
        </is>
      </c>
      <c r="AB170" s="2" t="inlineStr">
        <is>
          <t>—</t>
        </is>
      </c>
      <c r="AC170" s="2" t="inlineStr">
        <is>
          <t>—</t>
        </is>
      </c>
      <c r="AD170" s="3" t="n">
        <v>2</v>
      </c>
      <c r="AE170" s="2" t="inlineStr">
        <is>
          <t>Sharpe-loss training with turnover penalty.</t>
        </is>
      </c>
      <c r="AF170" s="2" t="inlineStr">
        <is>
          <t>DOI from publisher page/search; Crossref-confirmed</t>
        </is>
      </c>
    </row>
    <row r="171">
      <c r="A171" s="2" t="inlineStr">
        <is>
          <t>FK2018</t>
        </is>
      </c>
      <c r="B171" s="2" t="inlineStr">
        <is>
          <t>Deep Learning with Long Short-Term Memory Networks for Financial Market Predictions</t>
        </is>
      </c>
      <c r="C171" s="2" t="inlineStr">
        <is>
          <t>Fischer, T.; Krauss, C.</t>
        </is>
      </c>
      <c r="D171" s="3" t="n">
        <v>2018</v>
      </c>
      <c r="E171" s="2" t="inlineStr">
        <is>
          <t>European Journal of Operational Research 270(2):654-669</t>
        </is>
      </c>
      <c r="F171" s="2" t="inlineStr">
        <is>
          <t>T2 Quant/Field</t>
        </is>
      </c>
      <c r="G171" s="4" t="inlineStr">
        <is>
          <t>https://doi.org/10.1016/j.ejor.2017.11.054</t>
        </is>
      </c>
      <c r="H171" s="2" t="inlineStr">
        <is>
          <t>ML strategies &amp; implementability</t>
        </is>
      </c>
      <c r="I171" s="3" t="inlineStr">
        <is>
          <t>No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—</t>
        </is>
      </c>
      <c r="O171" s="2" t="inlineStr">
        <is>
          <t>—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—</t>
        </is>
      </c>
      <c r="S171" s="2" t="inlineStr">
        <is>
          <t>—</t>
        </is>
      </c>
      <c r="T171" s="2" t="inlineStr">
        <is>
          <t>—</t>
        </is>
      </c>
      <c r="U171" s="2" t="inlineStr">
        <is>
          <t>—</t>
        </is>
      </c>
      <c r="V171" s="2" t="inlineStr">
        <is>
          <t>—</t>
        </is>
      </c>
      <c r="W171" s="2" t="inlineStr">
        <is>
          <t>—</t>
        </is>
      </c>
      <c r="X171" s="2" t="inlineStr">
        <is>
          <t>LSTM for S&amp;P 500 constituent direction prediction outperforms memory-free methods; profitability declines in recent years [verify magnitude].</t>
        </is>
      </c>
      <c r="Y171" s="2" t="inlineStr">
        <is>
          <t>—</t>
        </is>
      </c>
      <c r="Z171" s="2" t="inlineStr">
        <is>
          <t>—</t>
        </is>
      </c>
      <c r="AA171" s="2" t="inlineStr">
        <is>
          <t>—</t>
        </is>
      </c>
      <c r="AB171" s="2" t="inlineStr">
        <is>
          <t>—</t>
        </is>
      </c>
      <c r="AC171" s="2" t="inlineStr">
        <is>
          <t>—</t>
        </is>
      </c>
      <c r="AD171" s="3" t="n">
        <v>2</v>
      </c>
      <c r="AE171" s="2" t="inlineStr">
        <is>
          <t>Daily stat-arb evidence.</t>
        </is>
      </c>
      <c r="AF171" s="2" t="inlineStr">
        <is>
          <t>DOI from publisher page/search; Crossref-confirmed</t>
        </is>
      </c>
    </row>
    <row r="172">
      <c r="A172" s="2" t="inlineStr">
        <is>
          <t>KNS2018</t>
        </is>
      </c>
      <c r="B172" s="2" t="inlineStr">
        <is>
          <t>Interpreting Factor Models</t>
        </is>
      </c>
      <c r="C172" s="2" t="inlineStr">
        <is>
          <t>Kozak, S.; Nagel, S.; Santosh, S.</t>
        </is>
      </c>
      <c r="D172" s="3" t="n">
        <v>2018</v>
      </c>
      <c r="E172" s="2" t="inlineStr">
        <is>
          <t>Journal of Finance 73(3):1183-1223</t>
        </is>
      </c>
      <c r="F172" s="2" t="inlineStr">
        <is>
          <t>T1 General Finance</t>
        </is>
      </c>
      <c r="G172" s="4" t="inlineStr">
        <is>
          <t>https://doi.org/10.1111/jofi.12612</t>
        </is>
      </c>
      <c r="H172" s="2" t="inlineStr">
        <is>
          <t>ML asset pricing</t>
        </is>
      </c>
      <c r="I172" s="3" t="inlineStr">
        <is>
          <t>No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—</t>
        </is>
      </c>
      <c r="S172" s="2" t="inlineStr">
        <is>
          <t>—</t>
        </is>
      </c>
      <c r="T172" s="2" t="inlineStr">
        <is>
          <t>—</t>
        </is>
      </c>
      <c r="U172" s="2" t="inlineStr">
        <is>
          <t>—</t>
        </is>
      </c>
      <c r="V172" s="2" t="inlineStr">
        <is>
          <t>—</t>
        </is>
      </c>
      <c r="W172" s="2" t="inlineStr">
        <is>
          <t>—</t>
        </is>
      </c>
      <c r="X172" s="2" t="inlineStr">
        <is>
          <t>Absence of near-arbitrage implies SDF well summarised by a few high-variance PCs; factor models do not discriminate between behavioural and rational stories.</t>
        </is>
      </c>
      <c r="Y172" s="2" t="inlineStr">
        <is>
          <t>—</t>
        </is>
      </c>
      <c r="Z172" s="2" t="inlineStr">
        <is>
          <t>—</t>
        </is>
      </c>
      <c r="AA172" s="2" t="inlineStr">
        <is>
          <t>—</t>
        </is>
      </c>
      <c r="AB172" s="2" t="inlineStr">
        <is>
          <t>—</t>
        </is>
      </c>
      <c r="AC172" s="2" t="inlineStr">
        <is>
          <t>—</t>
        </is>
      </c>
      <c r="AD172" s="3" t="n">
        <v>2</v>
      </c>
      <c r="AE172" s="2" t="inlineStr">
        <is>
          <t>Interpretation discipline.</t>
        </is>
      </c>
      <c r="AF172" s="2" t="inlineStr">
        <is>
          <t>Crossref match (title, author, year, journal)</t>
        </is>
      </c>
    </row>
    <row r="173">
      <c r="A173" s="2" t="inlineStr">
        <is>
          <t>FAL2017</t>
        </is>
      </c>
      <c r="B173" s="2" t="inlineStr">
        <is>
          <t>Model-Agnostic Meta-Learning for Fast Adaptation of Deep Networks</t>
        </is>
      </c>
      <c r="C173" s="2" t="inlineStr">
        <is>
          <t>Finn, C.; Abbeel, P.; Levine, S.</t>
        </is>
      </c>
      <c r="D173" s="3" t="n">
        <v>2017</v>
      </c>
      <c r="E173" s="2" t="inlineStr">
        <is>
          <t>Proceedings of ICML 2017 (PMLR 70)</t>
        </is>
      </c>
      <c r="F173" s="2" t="inlineStr">
        <is>
          <t>ML venue</t>
        </is>
      </c>
      <c r="G173" s="2" t="inlineStr"/>
      <c r="H173" s="2" t="inlineStr">
        <is>
          <t>ML methods</t>
        </is>
      </c>
      <c r="I173" s="3" t="inlineStr">
        <is>
          <t>No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—</t>
        </is>
      </c>
      <c r="O173" s="2" t="inlineStr">
        <is>
          <t>—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—</t>
        </is>
      </c>
      <c r="S173" s="2" t="inlineStr">
        <is>
          <t>—</t>
        </is>
      </c>
      <c r="T173" s="2" t="inlineStr">
        <is>
          <t>—</t>
        </is>
      </c>
      <c r="U173" s="2" t="inlineStr">
        <is>
          <t>—</t>
        </is>
      </c>
      <c r="V173" s="2" t="inlineStr">
        <is>
          <t>—</t>
        </is>
      </c>
      <c r="W173" s="2" t="inlineStr">
        <is>
          <t>—</t>
        </is>
      </c>
      <c r="X173" s="2" t="inlineStr">
        <is>
          <t>MAML meta-learning.</t>
        </is>
      </c>
      <c r="Y173" s="2" t="inlineStr">
        <is>
          <t>—</t>
        </is>
      </c>
      <c r="Z173" s="2" t="inlineStr">
        <is>
          <t>—</t>
        </is>
      </c>
      <c r="AA173" s="2" t="inlineStr">
        <is>
          <t>—</t>
        </is>
      </c>
      <c r="AB173" s="2" t="inlineStr">
        <is>
          <t>—</t>
        </is>
      </c>
      <c r="AC173" s="2" t="inlineStr">
        <is>
          <t>—</t>
        </is>
      </c>
      <c r="AD173" s="3" t="n">
        <v>2</v>
      </c>
      <c r="AE173" s="2" t="inlineStr">
        <is>
          <t>Adaptive-learning option.</t>
        </is>
      </c>
      <c r="AF173" s="2" t="inlineStr">
        <is>
          <t>Conference/ML venue (not in Crossref or not matched)</t>
        </is>
      </c>
    </row>
    <row r="174">
      <c r="A174" s="2" t="inlineStr">
        <is>
          <t>KDH2017</t>
        </is>
      </c>
      <c r="B174" s="2" t="inlineStr">
        <is>
          <t>Deep Neural Networks, Gradient-Boosted Trees, Random Forests: Statistical Arbitrage on the S&amp;P 500</t>
        </is>
      </c>
      <c r="C174" s="2" t="inlineStr">
        <is>
          <t>Krauss, C.; Do, X.A.; Huck, N.</t>
        </is>
      </c>
      <c r="D174" s="3" t="n">
        <v>2017</v>
      </c>
      <c r="E174" s="2" t="inlineStr">
        <is>
          <t>European Journal of Operational Research 259(2):689-702</t>
        </is>
      </c>
      <c r="F174" s="2" t="inlineStr">
        <is>
          <t>T2 Quant/Field</t>
        </is>
      </c>
      <c r="G174" s="4" t="inlineStr">
        <is>
          <t>https://doi.org/10.1016/j.ejor.2016.10.031</t>
        </is>
      </c>
      <c r="H174" s="2" t="inlineStr">
        <is>
          <t>ML strategies &amp; implementability</t>
        </is>
      </c>
      <c r="I174" s="3" t="inlineStr">
        <is>
          <t>No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" t="inlineStr">
        <is>
          <t>—</t>
        </is>
      </c>
      <c r="R174" s="2" t="inlineStr">
        <is>
          <t>—</t>
        </is>
      </c>
      <c r="S174" s="2" t="inlineStr">
        <is>
          <t>—</t>
        </is>
      </c>
      <c r="T174" s="2" t="inlineStr">
        <is>
          <t>—</t>
        </is>
      </c>
      <c r="U174" s="2" t="inlineStr">
        <is>
          <t>—</t>
        </is>
      </c>
      <c r="V174" s="2" t="inlineStr">
        <is>
          <t>—</t>
        </is>
      </c>
      <c r="W174" s="2" t="inlineStr">
        <is>
          <t>—</t>
        </is>
      </c>
      <c r="X174" s="2" t="inlineStr">
        <is>
          <t>Ensemble of DNN, GBT and RF for daily S&amp;P 500 stat-arb; returns decline over time and after costs [verify].</t>
        </is>
      </c>
      <c r="Y174" s="2" t="inlineStr">
        <is>
          <t>—</t>
        </is>
      </c>
      <c r="Z174" s="2" t="inlineStr">
        <is>
          <t>—</t>
        </is>
      </c>
      <c r="AA174" s="2" t="inlineStr">
        <is>
          <t>—</t>
        </is>
      </c>
      <c r="AB174" s="2" t="inlineStr">
        <is>
          <t>—</t>
        </is>
      </c>
      <c r="AC174" s="2" t="inlineStr">
        <is>
          <t>—</t>
        </is>
      </c>
      <c r="AD174" s="3" t="n">
        <v>2</v>
      </c>
      <c r="AE174" s="2" t="inlineStr">
        <is>
          <t>Ensemble evidence.</t>
        </is>
      </c>
      <c r="AF174" s="2" t="inlineStr">
        <is>
          <t>DOI from publisher page/search; Crossref-confirmed</t>
        </is>
      </c>
    </row>
    <row r="175">
      <c r="A175" s="2" t="inlineStr">
        <is>
          <t>SY2017</t>
        </is>
      </c>
      <c r="B175" s="2" t="inlineStr">
        <is>
          <t>Mispricing Factors</t>
        </is>
      </c>
      <c r="C175" s="2" t="inlineStr">
        <is>
          <t>Stambaugh, R.F.; Yuan, Y.</t>
        </is>
      </c>
      <c r="D175" s="3" t="n">
        <v>2017</v>
      </c>
      <c r="E175" s="2" t="inlineStr">
        <is>
          <t>Review of Financial Studies 30(4):1270-1315</t>
        </is>
      </c>
      <c r="F175" s="2" t="inlineStr">
        <is>
          <t>T1 General Finance</t>
        </is>
      </c>
      <c r="G175" s="4" t="inlineStr">
        <is>
          <t>https://doi.org/10.1093/rfs/hhw107</t>
        </is>
      </c>
      <c r="H175" s="2" t="inlineStr">
        <is>
          <t>Data &amp; measurement</t>
        </is>
      </c>
      <c r="I175" s="3" t="inlineStr">
        <is>
          <t>No</t>
        </is>
      </c>
      <c r="J175" s="2" t="inlineStr">
        <is>
          <t>—</t>
        </is>
      </c>
      <c r="K175" s="2" t="inlineStr">
        <is>
          <t>—</t>
        </is>
      </c>
      <c r="L175" s="2" t="inlineStr">
        <is>
          <t>—</t>
        </is>
      </c>
      <c r="M175" s="2" t="inlineStr">
        <is>
          <t>—</t>
        </is>
      </c>
      <c r="N175" s="2" t="inlineStr">
        <is>
          <t>—</t>
        </is>
      </c>
      <c r="O175" s="2" t="inlineStr">
        <is>
          <t>—</t>
        </is>
      </c>
      <c r="P175" s="2" t="inlineStr">
        <is>
          <t>—</t>
        </is>
      </c>
      <c r="Q175" s="2" t="inlineStr">
        <is>
          <t>—</t>
        </is>
      </c>
      <c r="R175" s="2" t="inlineStr">
        <is>
          <t>—</t>
        </is>
      </c>
      <c r="S175" s="2" t="inlineStr">
        <is>
          <t>—</t>
        </is>
      </c>
      <c r="T175" s="2" t="inlineStr">
        <is>
          <t>—</t>
        </is>
      </c>
      <c r="U175" s="2" t="inlineStr">
        <is>
          <t>—</t>
        </is>
      </c>
      <c r="V175" s="2" t="inlineStr">
        <is>
          <t>—</t>
        </is>
      </c>
      <c r="W175" s="2" t="inlineStr">
        <is>
          <t>—</t>
        </is>
      </c>
      <c r="X175" s="2" t="inlineStr">
        <is>
          <t>Two mispricing factors built from 11 anomalies.</t>
        </is>
      </c>
      <c r="Y175" s="2" t="inlineStr">
        <is>
          <t>—</t>
        </is>
      </c>
      <c r="Z175" s="2" t="inlineStr">
        <is>
          <t>—</t>
        </is>
      </c>
      <c r="AA175" s="2" t="inlineStr">
        <is>
          <t>—</t>
        </is>
      </c>
      <c r="AB175" s="2" t="inlineStr">
        <is>
          <t>—</t>
        </is>
      </c>
      <c r="AC175" s="2" t="inlineStr">
        <is>
          <t>—</t>
        </is>
      </c>
      <c r="AD175" s="3" t="n">
        <v>2</v>
      </c>
      <c r="AE175" s="2" t="inlineStr">
        <is>
          <t>Alpha benchmark.</t>
        </is>
      </c>
      <c r="AF175" s="2" t="inlineStr">
        <is>
          <t>Crossref match (title, author, year, journal)</t>
        </is>
      </c>
    </row>
    <row r="176">
      <c r="A176" s="2" t="inlineStr">
        <is>
          <t>VAS2017</t>
        </is>
      </c>
      <c r="B176" s="2" t="inlineStr">
        <is>
          <t>Attention Is All You Need</t>
        </is>
      </c>
      <c r="C176" s="2" t="inlineStr">
        <is>
          <t>Vaswani, A.; et al.</t>
        </is>
      </c>
      <c r="D176" s="3" t="n">
        <v>2017</v>
      </c>
      <c r="E176" s="2" t="inlineStr">
        <is>
          <t>Advances in Neural Information Processing Systems 30</t>
        </is>
      </c>
      <c r="F176" s="2" t="inlineStr">
        <is>
          <t>ML venue</t>
        </is>
      </c>
      <c r="G176" s="2" t="inlineStr"/>
      <c r="H176" s="2" t="inlineStr">
        <is>
          <t>ML methods</t>
        </is>
      </c>
      <c r="I176" s="3" t="inlineStr">
        <is>
          <t>No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" t="inlineStr">
        <is>
          <t>—</t>
        </is>
      </c>
      <c r="R176" s="2" t="inlineStr">
        <is>
          <t>—</t>
        </is>
      </c>
      <c r="S176" s="2" t="inlineStr">
        <is>
          <t>—</t>
        </is>
      </c>
      <c r="T176" s="2" t="inlineStr">
        <is>
          <t>—</t>
        </is>
      </c>
      <c r="U176" s="2" t="inlineStr">
        <is>
          <t>—</t>
        </is>
      </c>
      <c r="V176" s="2" t="inlineStr">
        <is>
          <t>—</t>
        </is>
      </c>
      <c r="W176" s="2" t="inlineStr">
        <is>
          <t>—</t>
        </is>
      </c>
      <c r="X176" s="2" t="inlineStr">
        <is>
          <t>Transformer architecture.</t>
        </is>
      </c>
      <c r="Y176" s="2" t="inlineStr">
        <is>
          <t>—</t>
        </is>
      </c>
      <c r="Z176" s="2" t="inlineStr">
        <is>
          <t>—</t>
        </is>
      </c>
      <c r="AA176" s="2" t="inlineStr">
        <is>
          <t>—</t>
        </is>
      </c>
      <c r="AB176" s="2" t="inlineStr">
        <is>
          <t>—</t>
        </is>
      </c>
      <c r="AC176" s="2" t="inlineStr">
        <is>
          <t>—</t>
        </is>
      </c>
      <c r="AD176" s="3" t="n">
        <v>2</v>
      </c>
      <c r="AE176" s="2" t="inlineStr">
        <is>
          <t>Attention models.</t>
        </is>
      </c>
      <c r="AF176" s="2" t="inlineStr">
        <is>
          <t>Conference/ML venue (not in Crossref or not matched)</t>
        </is>
      </c>
    </row>
    <row r="177">
      <c r="A177" s="2" t="inlineStr">
        <is>
          <t>HJTZ2015</t>
        </is>
      </c>
      <c r="B177" s="2" t="inlineStr">
        <is>
          <t>Investor Sentiment Aligned: A Powerful Predictor of Stock Returns</t>
        </is>
      </c>
      <c r="C177" s="2" t="inlineStr">
        <is>
          <t>Huang, D.; Jiang, F.; Tu, J.; Zhou, G.</t>
        </is>
      </c>
      <c r="D177" s="3" t="n">
        <v>2015</v>
      </c>
      <c r="E177" s="2" t="inlineStr">
        <is>
          <t>Review of Financial Studies 28(3):791-837</t>
        </is>
      </c>
      <c r="F177" s="2" t="inlineStr">
        <is>
          <t>T1 General Finance</t>
        </is>
      </c>
      <c r="G177" s="4" t="inlineStr">
        <is>
          <t>https://doi.org/10.1093/rfs/hhu080</t>
        </is>
      </c>
      <c r="H177" s="2" t="inlineStr">
        <is>
          <t>Factor timing &amp; regimes</t>
        </is>
      </c>
      <c r="I177" s="3" t="inlineStr">
        <is>
          <t>No</t>
        </is>
      </c>
      <c r="J177" s="2" t="inlineStr">
        <is>
          <t>—</t>
        </is>
      </c>
      <c r="K177" s="2" t="inlineStr">
        <is>
          <t>—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—</t>
        </is>
      </c>
      <c r="Q177" s="2" t="inlineStr">
        <is>
          <t>—</t>
        </is>
      </c>
      <c r="R177" s="2" t="inlineStr">
        <is>
          <t>—</t>
        </is>
      </c>
      <c r="S177" s="2" t="inlineStr">
        <is>
          <t>—</t>
        </is>
      </c>
      <c r="T177" s="2" t="inlineStr">
        <is>
          <t>—</t>
        </is>
      </c>
      <c r="U177" s="2" t="inlineStr">
        <is>
          <t>—</t>
        </is>
      </c>
      <c r="V177" s="2" t="inlineStr">
        <is>
          <t>—</t>
        </is>
      </c>
      <c r="W177" s="2" t="inlineStr">
        <is>
          <t>—</t>
        </is>
      </c>
      <c r="X177" s="2" t="inlineStr">
        <is>
          <t>PLS-aligned sentiment index improves market-return prediction.</t>
        </is>
      </c>
      <c r="Y177" s="2" t="inlineStr">
        <is>
          <t>—</t>
        </is>
      </c>
      <c r="Z177" s="2" t="inlineStr">
        <is>
          <t>—</t>
        </is>
      </c>
      <c r="AA177" s="2" t="inlineStr">
        <is>
          <t>—</t>
        </is>
      </c>
      <c r="AB177" s="2" t="inlineStr">
        <is>
          <t>—</t>
        </is>
      </c>
      <c r="AC177" s="2" t="inlineStr">
        <is>
          <t>—</t>
        </is>
      </c>
      <c r="AD177" s="3" t="n">
        <v>2</v>
      </c>
      <c r="AE177" s="2" t="inlineStr">
        <is>
          <t>State variable alternative.</t>
        </is>
      </c>
      <c r="AF177" s="2" t="inlineStr">
        <is>
          <t>Crossref match (title, author, year, journal)</t>
        </is>
      </c>
    </row>
    <row r="178">
      <c r="A178" s="2" t="inlineStr">
        <is>
          <t>KP2015</t>
        </is>
      </c>
      <c r="B178" s="2" t="inlineStr">
        <is>
          <t>The Three-Pass Regression Filter: A New Approach to Forecasting Using Many Predictors</t>
        </is>
      </c>
      <c r="C178" s="2" t="inlineStr">
        <is>
          <t>Kelly, B.; Pruitt, S.</t>
        </is>
      </c>
      <c r="D178" s="3" t="n">
        <v>2015</v>
      </c>
      <c r="E178" s="2" t="inlineStr">
        <is>
          <t>Journal of Econometrics 186(2):294-316</t>
        </is>
      </c>
      <c r="F178" s="2" t="inlineStr">
        <is>
          <t>T2 Quant/Field</t>
        </is>
      </c>
      <c r="G178" s="4" t="inlineStr">
        <is>
          <t>https://doi.org/10.1016/j.jeconom.2015.02.011</t>
        </is>
      </c>
      <c r="H178" s="2" t="inlineStr">
        <is>
          <t>ML asset pricing</t>
        </is>
      </c>
      <c r="I178" s="3" t="inlineStr">
        <is>
          <t>No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" t="inlineStr">
        <is>
          <t>—</t>
        </is>
      </c>
      <c r="R178" s="2" t="inlineStr">
        <is>
          <t>—</t>
        </is>
      </c>
      <c r="S178" s="2" t="inlineStr">
        <is>
          <t>—</t>
        </is>
      </c>
      <c r="T178" s="2" t="inlineStr">
        <is>
          <t>—</t>
        </is>
      </c>
      <c r="U178" s="2" t="inlineStr">
        <is>
          <t>—</t>
        </is>
      </c>
      <c r="V178" s="2" t="inlineStr">
        <is>
          <t>—</t>
        </is>
      </c>
      <c r="W178" s="2" t="inlineStr">
        <is>
          <t>—</t>
        </is>
      </c>
      <c r="X178" s="2" t="inlineStr">
        <is>
          <t>3PRF (PLS generalisation) for forecasting with many predictors.</t>
        </is>
      </c>
      <c r="Y178" s="2" t="inlineStr">
        <is>
          <t>—</t>
        </is>
      </c>
      <c r="Z178" s="2" t="inlineStr">
        <is>
          <t>—</t>
        </is>
      </c>
      <c r="AA178" s="2" t="inlineStr">
        <is>
          <t>—</t>
        </is>
      </c>
      <c r="AB178" s="2" t="inlineStr">
        <is>
          <t>—</t>
        </is>
      </c>
      <c r="AC178" s="2" t="inlineStr">
        <is>
          <t>—</t>
        </is>
      </c>
      <c r="AD178" s="3" t="n">
        <v>2</v>
      </c>
      <c r="AE178" s="2" t="inlineStr">
        <is>
          <t>State-variable aggregation method.</t>
        </is>
      </c>
      <c r="AF178" s="2" t="inlineStr">
        <is>
          <t>Crossref match (title, author, year, journal)</t>
        </is>
      </c>
    </row>
    <row r="179">
      <c r="A179" s="2" t="inlineStr">
        <is>
          <t>BAMS2014</t>
        </is>
      </c>
      <c r="B179" s="2" t="inlineStr">
        <is>
          <t>Dynamic Asset Allocation for Varied Financial Markets under Regime Switching Framework</t>
        </is>
      </c>
      <c r="C179" s="2" t="inlineStr">
        <is>
          <t>Bae, G.I.; Kim, W.C.; Mulvey, J.M.</t>
        </is>
      </c>
      <c r="D179" s="3" t="n">
        <v>2014</v>
      </c>
      <c r="E179" s="2" t="inlineStr">
        <is>
          <t>European Journal of Operational Research 234(2):450-458</t>
        </is>
      </c>
      <c r="F179" s="2" t="inlineStr">
        <is>
          <t>T2 Quant/Field</t>
        </is>
      </c>
      <c r="G179" s="4" t="inlineStr">
        <is>
          <t>https://doi.org/10.1016/j.ejor.2013.03.032</t>
        </is>
      </c>
      <c r="H179" s="2" t="inlineStr">
        <is>
          <t>Factor timing &amp; regimes</t>
        </is>
      </c>
      <c r="I179" s="3" t="inlineStr">
        <is>
          <t>No</t>
        </is>
      </c>
      <c r="J179" s="2" t="inlineStr">
        <is>
          <t>—</t>
        </is>
      </c>
      <c r="K179" s="2" t="inlineStr">
        <is>
          <t>—</t>
        </is>
      </c>
      <c r="L179" s="2" t="inlineStr">
        <is>
          <t>—</t>
        </is>
      </c>
      <c r="M179" s="2" t="inlineStr">
        <is>
          <t>—</t>
        </is>
      </c>
      <c r="N179" s="2" t="inlineStr">
        <is>
          <t>—</t>
        </is>
      </c>
      <c r="O179" s="2" t="inlineStr">
        <is>
          <t>—</t>
        </is>
      </c>
      <c r="P179" s="2" t="inlineStr">
        <is>
          <t>—</t>
        </is>
      </c>
      <c r="Q179" s="2" t="inlineStr">
        <is>
          <t>—</t>
        </is>
      </c>
      <c r="R179" s="2" t="inlineStr">
        <is>
          <t>—</t>
        </is>
      </c>
      <c r="S179" s="2" t="inlineStr">
        <is>
          <t>—</t>
        </is>
      </c>
      <c r="T179" s="2" t="inlineStr">
        <is>
          <t>—</t>
        </is>
      </c>
      <c r="U179" s="2" t="inlineStr">
        <is>
          <t>—</t>
        </is>
      </c>
      <c r="V179" s="2" t="inlineStr">
        <is>
          <t>—</t>
        </is>
      </c>
      <c r="W179" s="2" t="inlineStr">
        <is>
          <t>—</t>
        </is>
      </c>
      <c r="X179" s="2" t="inlineStr">
        <is>
          <t>Regime-switching framework for dynamic asset allocation.</t>
        </is>
      </c>
      <c r="Y179" s="2" t="inlineStr">
        <is>
          <t>—</t>
        </is>
      </c>
      <c r="Z179" s="2" t="inlineStr">
        <is>
          <t>—</t>
        </is>
      </c>
      <c r="AA179" s="2" t="inlineStr">
        <is>
          <t>—</t>
        </is>
      </c>
      <c r="AB179" s="2" t="inlineStr">
        <is>
          <t>—</t>
        </is>
      </c>
      <c r="AC179" s="2" t="inlineStr">
        <is>
          <t>—</t>
        </is>
      </c>
      <c r="AD179" s="3" t="n">
        <v>2</v>
      </c>
      <c r="AE179" s="2" t="inlineStr">
        <is>
          <t>OR regime reference. [verify]</t>
        </is>
      </c>
      <c r="AF179" s="2" t="inlineStr">
        <is>
          <t>Crossref match (title, author, year, journal)</t>
        </is>
      </c>
    </row>
    <row r="180">
      <c r="A180" s="2" t="inlineStr">
        <is>
          <t>FP2014</t>
        </is>
      </c>
      <c r="B180" s="2" t="inlineStr">
        <is>
          <t>Betting Against Beta</t>
        </is>
      </c>
      <c r="C180" s="2" t="inlineStr">
        <is>
          <t>Frazzini, A.; Pedersen, L.H.</t>
        </is>
      </c>
      <c r="D180" s="3" t="n">
        <v>2014</v>
      </c>
      <c r="E180" s="2" t="inlineStr">
        <is>
          <t>Journal of Financial Economics 111(1):1-25</t>
        </is>
      </c>
      <c r="F180" s="2" t="inlineStr">
        <is>
          <t>T1 General Finance</t>
        </is>
      </c>
      <c r="G180" s="4" t="inlineStr">
        <is>
          <t>https://doi.org/10.1016/j.jfineco.2013.10.005</t>
        </is>
      </c>
      <c r="H180" s="2" t="inlineStr">
        <is>
          <t>Data &amp; measurement</t>
        </is>
      </c>
      <c r="I180" s="3" t="inlineStr">
        <is>
          <t>No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" t="inlineStr">
        <is>
          <t>—</t>
        </is>
      </c>
      <c r="R180" s="2" t="inlineStr">
        <is>
          <t>—</t>
        </is>
      </c>
      <c r="S180" s="2" t="inlineStr">
        <is>
          <t>—</t>
        </is>
      </c>
      <c r="T180" s="2" t="inlineStr">
        <is>
          <t>—</t>
        </is>
      </c>
      <c r="U180" s="2" t="inlineStr">
        <is>
          <t>—</t>
        </is>
      </c>
      <c r="V180" s="2" t="inlineStr">
        <is>
          <t>—</t>
        </is>
      </c>
      <c r="W180" s="2" t="inlineStr">
        <is>
          <t>—</t>
        </is>
      </c>
      <c r="X180" s="2" t="inlineStr">
        <is>
          <t>Leverage-constrained investors bid up high-beta assets; BAB factor.</t>
        </is>
      </c>
      <c r="Y180" s="2" t="inlineStr">
        <is>
          <t>—</t>
        </is>
      </c>
      <c r="Z180" s="2" t="inlineStr">
        <is>
          <t>—</t>
        </is>
      </c>
      <c r="AA180" s="2" t="inlineStr">
        <is>
          <t>—</t>
        </is>
      </c>
      <c r="AB180" s="2" t="inlineStr">
        <is>
          <t>—</t>
        </is>
      </c>
      <c r="AC180" s="2" t="inlineStr">
        <is>
          <t>—</t>
        </is>
      </c>
      <c r="AD180" s="3" t="n">
        <v>2</v>
      </c>
      <c r="AE180" s="2" t="inlineStr">
        <is>
          <t>Signal library member.</t>
        </is>
      </c>
      <c r="AF180" s="2" t="inlineStr">
        <is>
          <t>Crossref match (title, author, year, journal)</t>
        </is>
      </c>
    </row>
    <row r="181">
      <c r="A181" s="2" t="inlineStr">
        <is>
          <t>AMP2013</t>
        </is>
      </c>
      <c r="B181" s="2" t="inlineStr">
        <is>
          <t>Value and Momentum Everywhere</t>
        </is>
      </c>
      <c r="C181" s="2" t="inlineStr">
        <is>
          <t>Asness, C.S.; Moskowitz, T.J.; Pedersen, L.H.</t>
        </is>
      </c>
      <c r="D181" s="3" t="n">
        <v>2013</v>
      </c>
      <c r="E181" s="2" t="inlineStr">
        <is>
          <t>Journal of Finance 68(3):929-985</t>
        </is>
      </c>
      <c r="F181" s="2" t="inlineStr">
        <is>
          <t>T1 General Finance</t>
        </is>
      </c>
      <c r="G181" s="4" t="inlineStr">
        <is>
          <t>https://doi.org/10.1111/jofi.12021</t>
        </is>
      </c>
      <c r="H181" s="2" t="inlineStr">
        <is>
          <t>Data &amp; measurement</t>
        </is>
      </c>
      <c r="I181" s="3" t="inlineStr">
        <is>
          <t>No</t>
        </is>
      </c>
      <c r="J181" s="2" t="inlineStr">
        <is>
          <t>—</t>
        </is>
      </c>
      <c r="K181" s="2" t="inlineStr">
        <is>
          <t>—</t>
        </is>
      </c>
      <c r="L181" s="2" t="inlineStr">
        <is>
          <t>—</t>
        </is>
      </c>
      <c r="M181" s="2" t="inlineStr">
        <is>
          <t>—</t>
        </is>
      </c>
      <c r="N181" s="2" t="inlineStr">
        <is>
          <t>—</t>
        </is>
      </c>
      <c r="O181" s="2" t="inlineStr">
        <is>
          <t>—</t>
        </is>
      </c>
      <c r="P181" s="2" t="inlineStr">
        <is>
          <t>—</t>
        </is>
      </c>
      <c r="Q181" s="2" t="inlineStr">
        <is>
          <t>—</t>
        </is>
      </c>
      <c r="R181" s="2" t="inlineStr">
        <is>
          <t>—</t>
        </is>
      </c>
      <c r="S181" s="2" t="inlineStr">
        <is>
          <t>—</t>
        </is>
      </c>
      <c r="T181" s="2" t="inlineStr">
        <is>
          <t>—</t>
        </is>
      </c>
      <c r="U181" s="2" t="inlineStr">
        <is>
          <t>—</t>
        </is>
      </c>
      <c r="V181" s="2" t="inlineStr">
        <is>
          <t>—</t>
        </is>
      </c>
      <c r="W181" s="2" t="inlineStr">
        <is>
          <t>—</t>
        </is>
      </c>
      <c r="X181" s="2" t="inlineStr">
        <is>
          <t>Value and momentum premia across asset classes, negatively correlated with each other.</t>
        </is>
      </c>
      <c r="Y181" s="2" t="inlineStr">
        <is>
          <t>—</t>
        </is>
      </c>
      <c r="Z181" s="2" t="inlineStr">
        <is>
          <t>—</t>
        </is>
      </c>
      <c r="AA181" s="2" t="inlineStr">
        <is>
          <t>—</t>
        </is>
      </c>
      <c r="AB181" s="2" t="inlineStr">
        <is>
          <t>—</t>
        </is>
      </c>
      <c r="AC181" s="2" t="inlineStr">
        <is>
          <t>—</t>
        </is>
      </c>
      <c r="AD181" s="3" t="n">
        <v>2</v>
      </c>
      <c r="AE181" s="2" t="inlineStr">
        <is>
          <t>Motivates value-momentum combination.</t>
        </is>
      </c>
      <c r="AF181" s="2" t="inlineStr">
        <is>
          <t>Crossref match (title, author, year, journal)</t>
        </is>
      </c>
    </row>
    <row r="182">
      <c r="A182" s="2" t="inlineStr">
        <is>
          <t>KPT2012</t>
        </is>
      </c>
      <c r="B182" s="2" t="inlineStr">
        <is>
          <t>Regime Shifts: Implications for Dynamic Strategies</t>
        </is>
      </c>
      <c r="C182" s="2" t="inlineStr">
        <is>
          <t>Kritzman, M.; Page, S.; Turkington, D.</t>
        </is>
      </c>
      <c r="D182" s="3" t="n">
        <v>2012</v>
      </c>
      <c r="E182" s="2" t="inlineStr">
        <is>
          <t>Financial Analysts Journal 68(3):22-39</t>
        </is>
      </c>
      <c r="F182" s="2" t="inlineStr">
        <is>
          <t>T3 Practitioner</t>
        </is>
      </c>
      <c r="G182" s="4" t="inlineStr">
        <is>
          <t>https://doi.org/10.2469/faj.v68.n3.3</t>
        </is>
      </c>
      <c r="H182" s="2" t="inlineStr">
        <is>
          <t>Factor timing &amp; regimes</t>
        </is>
      </c>
      <c r="I182" s="3" t="inlineStr">
        <is>
          <t>No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" t="inlineStr">
        <is>
          <t>—</t>
        </is>
      </c>
      <c r="R182" s="2" t="inlineStr">
        <is>
          <t>—</t>
        </is>
      </c>
      <c r="S182" s="2" t="inlineStr">
        <is>
          <t>—</t>
        </is>
      </c>
      <c r="T182" s="2" t="inlineStr">
        <is>
          <t>—</t>
        </is>
      </c>
      <c r="U182" s="2" t="inlineStr">
        <is>
          <t>—</t>
        </is>
      </c>
      <c r="V182" s="2" t="inlineStr">
        <is>
          <t>—</t>
        </is>
      </c>
      <c r="W182" s="2" t="inlineStr">
        <is>
          <t>—</t>
        </is>
      </c>
      <c r="X182" s="2" t="inlineStr">
        <is>
          <t>Markov-switching regimes for turbulence, inflation and growth guide tactical allocation.</t>
        </is>
      </c>
      <c r="Y182" s="2" t="inlineStr">
        <is>
          <t>—</t>
        </is>
      </c>
      <c r="Z182" s="2" t="inlineStr">
        <is>
          <t>—</t>
        </is>
      </c>
      <c r="AA182" s="2" t="inlineStr">
        <is>
          <t>—</t>
        </is>
      </c>
      <c r="AB182" s="2" t="inlineStr">
        <is>
          <t>—</t>
        </is>
      </c>
      <c r="AC182" s="2" t="inlineStr">
        <is>
          <t>—</t>
        </is>
      </c>
      <c r="AD182" s="3" t="n">
        <v>2</v>
      </c>
      <c r="AE182" s="2" t="inlineStr">
        <is>
          <t>Practitioner regime framing.</t>
        </is>
      </c>
      <c r="AF182" s="2" t="inlineStr">
        <is>
          <t>Crossref match (title, author, year, journal)</t>
        </is>
      </c>
    </row>
    <row r="183">
      <c r="A183" s="2" t="inlineStr">
        <is>
          <t>DY2010</t>
        </is>
      </c>
      <c r="B183" s="2" t="inlineStr">
        <is>
          <t>Distributionally Robust Optimization under Moment Uncertainty with Application to Data-Driven Problems</t>
        </is>
      </c>
      <c r="C183" s="2" t="inlineStr">
        <is>
          <t>Delage, E.; Ye, Y.</t>
        </is>
      </c>
      <c r="D183" s="3" t="n">
        <v>2010</v>
      </c>
      <c r="E183" s="2" t="inlineStr">
        <is>
          <t>Operations Research 58(3):595-612</t>
        </is>
      </c>
      <c r="F183" s="2" t="inlineStr">
        <is>
          <t>T1b Finance/OR</t>
        </is>
      </c>
      <c r="G183" s="4" t="inlineStr">
        <is>
          <t>https://doi.org/10.1287/opre.1090.0741</t>
        </is>
      </c>
      <c r="H183" s="2" t="inlineStr">
        <is>
          <t>Portfolio construction</t>
        </is>
      </c>
      <c r="I183" s="3" t="inlineStr">
        <is>
          <t>No</t>
        </is>
      </c>
      <c r="J183" s="2" t="inlineStr">
        <is>
          <t>—</t>
        </is>
      </c>
      <c r="K183" s="2" t="inlineStr">
        <is>
          <t>—</t>
        </is>
      </c>
      <c r="L183" s="2" t="inlineStr">
        <is>
          <t>—</t>
        </is>
      </c>
      <c r="M183" s="2" t="inlineStr">
        <is>
          <t>—</t>
        </is>
      </c>
      <c r="N183" s="2" t="inlineStr">
        <is>
          <t>—</t>
        </is>
      </c>
      <c r="O183" s="2" t="inlineStr">
        <is>
          <t>—</t>
        </is>
      </c>
      <c r="P183" s="2" t="inlineStr">
        <is>
          <t>—</t>
        </is>
      </c>
      <c r="Q183" s="2" t="inlineStr">
        <is>
          <t>—</t>
        </is>
      </c>
      <c r="R183" s="2" t="inlineStr">
        <is>
          <t>—</t>
        </is>
      </c>
      <c r="S183" s="2" t="inlineStr">
        <is>
          <t>—</t>
        </is>
      </c>
      <c r="T183" s="2" t="inlineStr">
        <is>
          <t>—</t>
        </is>
      </c>
      <c r="U183" s="2" t="inlineStr">
        <is>
          <t>—</t>
        </is>
      </c>
      <c r="V183" s="2" t="inlineStr">
        <is>
          <t>—</t>
        </is>
      </c>
      <c r="W183" s="2" t="inlineStr">
        <is>
          <t>—</t>
        </is>
      </c>
      <c r="X183" s="2" t="inlineStr">
        <is>
          <t>DRO with moment-based ambiguity sets.</t>
        </is>
      </c>
      <c r="Y183" s="2" t="inlineStr">
        <is>
          <t>—</t>
        </is>
      </c>
      <c r="Z183" s="2" t="inlineStr">
        <is>
          <t>—</t>
        </is>
      </c>
      <c r="AA183" s="2" t="inlineStr">
        <is>
          <t>—</t>
        </is>
      </c>
      <c r="AB183" s="2" t="inlineStr">
        <is>
          <t>—</t>
        </is>
      </c>
      <c r="AC183" s="2" t="inlineStr">
        <is>
          <t>—</t>
        </is>
      </c>
      <c r="AD183" s="3" t="n">
        <v>2</v>
      </c>
      <c r="AE183" s="2" t="inlineStr">
        <is>
          <t>DRO foundation.</t>
        </is>
      </c>
      <c r="AF183" s="2" t="inlineStr">
        <is>
          <t>Crossref match (title, author, year, journal)</t>
        </is>
      </c>
    </row>
    <row r="184">
      <c r="A184" s="2" t="inlineStr">
        <is>
          <t>MRT2010</t>
        </is>
      </c>
      <c r="B184" s="2" t="inlineStr">
        <is>
          <t>The Properties of Equally Weighted Risk Contribution Portfolios</t>
        </is>
      </c>
      <c r="C184" s="2" t="inlineStr">
        <is>
          <t>Maillard, S.; Roncalli, T.; Teiletche, J.</t>
        </is>
      </c>
      <c r="D184" s="3" t="n">
        <v>2010</v>
      </c>
      <c r="E184" s="2" t="inlineStr">
        <is>
          <t>Journal of Portfolio Management 36(4):60-70</t>
        </is>
      </c>
      <c r="F184" s="2" t="inlineStr">
        <is>
          <t>T3 Practitioner</t>
        </is>
      </c>
      <c r="G184" s="4" t="inlineStr">
        <is>
          <t>https://doi.org/10.3905/jpm.2010.36.4.060</t>
        </is>
      </c>
      <c r="H184" s="2" t="inlineStr">
        <is>
          <t>Portfolio construction</t>
        </is>
      </c>
      <c r="I184" s="3" t="inlineStr">
        <is>
          <t>No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" t="inlineStr">
        <is>
          <t>—</t>
        </is>
      </c>
      <c r="R184" s="2" t="inlineStr">
        <is>
          <t>—</t>
        </is>
      </c>
      <c r="S184" s="2" t="inlineStr">
        <is>
          <t>—</t>
        </is>
      </c>
      <c r="T184" s="2" t="inlineStr">
        <is>
          <t>—</t>
        </is>
      </c>
      <c r="U184" s="2" t="inlineStr">
        <is>
          <t>—</t>
        </is>
      </c>
      <c r="V184" s="2" t="inlineStr">
        <is>
          <t>—</t>
        </is>
      </c>
      <c r="W184" s="2" t="inlineStr">
        <is>
          <t>—</t>
        </is>
      </c>
      <c r="X184" s="2" t="inlineStr">
        <is>
          <t>Equal-risk-contribution portfolios lie between minimum variance and 1/N.</t>
        </is>
      </c>
      <c r="Y184" s="2" t="inlineStr">
        <is>
          <t>—</t>
        </is>
      </c>
      <c r="Z184" s="2" t="inlineStr">
        <is>
          <t>—</t>
        </is>
      </c>
      <c r="AA184" s="2" t="inlineStr">
        <is>
          <t>—</t>
        </is>
      </c>
      <c r="AB184" s="2" t="inlineStr">
        <is>
          <t>—</t>
        </is>
      </c>
      <c r="AC184" s="2" t="inlineStr">
        <is>
          <t>—</t>
        </is>
      </c>
      <c r="AD184" s="3" t="n">
        <v>2</v>
      </c>
      <c r="AE184" s="2" t="inlineStr">
        <is>
          <t>Risk-parity benchmark.</t>
        </is>
      </c>
      <c r="AF184" s="2" t="inlineStr">
        <is>
          <t>Crossref match (title, author, year, journal)</t>
        </is>
      </c>
    </row>
    <row r="185">
      <c r="A185" s="2" t="inlineStr">
        <is>
          <t>HTF2009</t>
        </is>
      </c>
      <c r="B185" s="2" t="inlineStr">
        <is>
          <t>The Elements of Statistical Learning (2nd ed.)</t>
        </is>
      </c>
      <c r="C185" s="2" t="inlineStr">
        <is>
          <t>Hastie, T.; Tibshirani, R.; Friedman, J.</t>
        </is>
      </c>
      <c r="D185" s="3" t="n">
        <v>2009</v>
      </c>
      <c r="E185" s="2" t="inlineStr">
        <is>
          <t>Springer (book)</t>
        </is>
      </c>
      <c r="F185" s="2" t="inlineStr">
        <is>
          <t>Book</t>
        </is>
      </c>
      <c r="G185" s="2" t="inlineStr"/>
      <c r="H185" s="2" t="inlineStr">
        <is>
          <t>ML methods</t>
        </is>
      </c>
      <c r="I185" s="3" t="inlineStr">
        <is>
          <t>No</t>
        </is>
      </c>
      <c r="J185" s="2" t="inlineStr">
        <is>
          <t>—</t>
        </is>
      </c>
      <c r="K185" s="2" t="inlineStr">
        <is>
          <t>—</t>
        </is>
      </c>
      <c r="L185" s="2" t="inlineStr">
        <is>
          <t>—</t>
        </is>
      </c>
      <c r="M185" s="2" t="inlineStr">
        <is>
          <t>—</t>
        </is>
      </c>
      <c r="N185" s="2" t="inlineStr">
        <is>
          <t>—</t>
        </is>
      </c>
      <c r="O185" s="2" t="inlineStr">
        <is>
          <t>—</t>
        </is>
      </c>
      <c r="P185" s="2" t="inlineStr">
        <is>
          <t>—</t>
        </is>
      </c>
      <c r="Q185" s="2" t="inlineStr">
        <is>
          <t>—</t>
        </is>
      </c>
      <c r="R185" s="2" t="inlineStr">
        <is>
          <t>—</t>
        </is>
      </c>
      <c r="S185" s="2" t="inlineStr">
        <is>
          <t>—</t>
        </is>
      </c>
      <c r="T185" s="2" t="inlineStr">
        <is>
          <t>—</t>
        </is>
      </c>
      <c r="U185" s="2" t="inlineStr">
        <is>
          <t>—</t>
        </is>
      </c>
      <c r="V185" s="2" t="inlineStr">
        <is>
          <t>—</t>
        </is>
      </c>
      <c r="W185" s="2" t="inlineStr">
        <is>
          <t>—</t>
        </is>
      </c>
      <c r="X185" s="2" t="inlineStr">
        <is>
          <t>Statistical learning reference.</t>
        </is>
      </c>
      <c r="Y185" s="2" t="inlineStr">
        <is>
          <t>—</t>
        </is>
      </c>
      <c r="Z185" s="2" t="inlineStr">
        <is>
          <t>—</t>
        </is>
      </c>
      <c r="AA185" s="2" t="inlineStr">
        <is>
          <t>—</t>
        </is>
      </c>
      <c r="AB185" s="2" t="inlineStr">
        <is>
          <t>—</t>
        </is>
      </c>
      <c r="AC185" s="2" t="inlineStr">
        <is>
          <t>—</t>
        </is>
      </c>
      <c r="AD185" s="3" t="n">
        <v>2</v>
      </c>
      <c r="AE185" s="2" t="inlineStr">
        <is>
          <t>Methods reference.</t>
        </is>
      </c>
      <c r="AF185" s="2" t="inlineStr">
        <is>
          <t>Book (no DOI recorded)</t>
        </is>
      </c>
    </row>
    <row r="186">
      <c r="A186" s="2" t="inlineStr">
        <is>
          <t>CC2008</t>
        </is>
      </c>
      <c r="B186" s="2" t="inlineStr">
        <is>
          <t>Toward Maximum Diversification</t>
        </is>
      </c>
      <c r="C186" s="2" t="inlineStr">
        <is>
          <t>Choueifaty, Y.; Coignard, Y.</t>
        </is>
      </c>
      <c r="D186" s="3" t="n">
        <v>2008</v>
      </c>
      <c r="E186" s="2" t="inlineStr">
        <is>
          <t>Journal of Portfolio Management 35(1):40-51</t>
        </is>
      </c>
      <c r="F186" s="2" t="inlineStr">
        <is>
          <t>T3 Practitioner</t>
        </is>
      </c>
      <c r="G186" s="4" t="inlineStr">
        <is>
          <t>https://doi.org/10.3905/jpm.2008.35.1.40</t>
        </is>
      </c>
      <c r="H186" s="2" t="inlineStr">
        <is>
          <t>Portfolio construction</t>
        </is>
      </c>
      <c r="I186" s="3" t="inlineStr">
        <is>
          <t>No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" t="inlineStr">
        <is>
          <t>—</t>
        </is>
      </c>
      <c r="R186" s="2" t="inlineStr">
        <is>
          <t>—</t>
        </is>
      </c>
      <c r="S186" s="2" t="inlineStr">
        <is>
          <t>—</t>
        </is>
      </c>
      <c r="T186" s="2" t="inlineStr">
        <is>
          <t>—</t>
        </is>
      </c>
      <c r="U186" s="2" t="inlineStr">
        <is>
          <t>—</t>
        </is>
      </c>
      <c r="V186" s="2" t="inlineStr">
        <is>
          <t>—</t>
        </is>
      </c>
      <c r="W186" s="2" t="inlineStr">
        <is>
          <t>—</t>
        </is>
      </c>
      <c r="X186" s="2" t="inlineStr">
        <is>
          <t>Maximum diversification portfolio.</t>
        </is>
      </c>
      <c r="Y186" s="2" t="inlineStr">
        <is>
          <t>—</t>
        </is>
      </c>
      <c r="Z186" s="2" t="inlineStr">
        <is>
          <t>—</t>
        </is>
      </c>
      <c r="AA186" s="2" t="inlineStr">
        <is>
          <t>—</t>
        </is>
      </c>
      <c r="AB186" s="2" t="inlineStr">
        <is>
          <t>—</t>
        </is>
      </c>
      <c r="AC186" s="2" t="inlineStr">
        <is>
          <t>—</t>
        </is>
      </c>
      <c r="AD186" s="3" t="n">
        <v>2</v>
      </c>
      <c r="AE186" s="2" t="inlineStr">
        <is>
          <t>Diversification benchmark.</t>
        </is>
      </c>
      <c r="AF186" s="2" t="inlineStr">
        <is>
          <t>Crossref match (title, author, year, journal)</t>
        </is>
      </c>
    </row>
    <row r="187">
      <c r="A187" s="2" t="inlineStr">
        <is>
          <t>CF2008</t>
        </is>
      </c>
      <c r="B187" s="2" t="inlineStr">
        <is>
          <t>Economic Links and Predictable Returns</t>
        </is>
      </c>
      <c r="C187" s="2" t="inlineStr">
        <is>
          <t>Cohen, L.; Frazzini, A.</t>
        </is>
      </c>
      <c r="D187" s="3" t="n">
        <v>2008</v>
      </c>
      <c r="E187" s="2" t="inlineStr">
        <is>
          <t>Journal of Finance 63(4):1977-2011</t>
        </is>
      </c>
      <c r="F187" s="2" t="inlineStr">
        <is>
          <t>T1 General Finance</t>
        </is>
      </c>
      <c r="G187" s="4" t="inlineStr">
        <is>
          <t>https://doi.org/10.1111/j.1540-6261.2008.01379.x</t>
        </is>
      </c>
      <c r="H187" s="2" t="inlineStr">
        <is>
          <t>Data &amp; measurement</t>
        </is>
      </c>
      <c r="I187" s="3" t="inlineStr">
        <is>
          <t>No</t>
        </is>
      </c>
      <c r="J187" s="2" t="inlineStr">
        <is>
          <t>—</t>
        </is>
      </c>
      <c r="K187" s="2" t="inlineStr">
        <is>
          <t>—</t>
        </is>
      </c>
      <c r="L187" s="2" t="inlineStr">
        <is>
          <t>—</t>
        </is>
      </c>
      <c r="M187" s="2" t="inlineStr">
        <is>
          <t>—</t>
        </is>
      </c>
      <c r="N187" s="2" t="inlineStr">
        <is>
          <t>—</t>
        </is>
      </c>
      <c r="O187" s="2" t="inlineStr">
        <is>
          <t>—</t>
        </is>
      </c>
      <c r="P187" s="2" t="inlineStr">
        <is>
          <t>—</t>
        </is>
      </c>
      <c r="Q187" s="2" t="inlineStr">
        <is>
          <t>—</t>
        </is>
      </c>
      <c r="R187" s="2" t="inlineStr">
        <is>
          <t>—</t>
        </is>
      </c>
      <c r="S187" s="2" t="inlineStr">
        <is>
          <t>—</t>
        </is>
      </c>
      <c r="T187" s="2" t="inlineStr">
        <is>
          <t>—</t>
        </is>
      </c>
      <c r="U187" s="2" t="inlineStr">
        <is>
          <t>—</t>
        </is>
      </c>
      <c r="V187" s="2" t="inlineStr">
        <is>
          <t>—</t>
        </is>
      </c>
      <c r="W187" s="2" t="inlineStr">
        <is>
          <t>—</t>
        </is>
      </c>
      <c r="X187" s="2" t="inlineStr">
        <is>
          <t>Customer returns predict supplier returns (limited attention).</t>
        </is>
      </c>
      <c r="Y187" s="2" t="inlineStr">
        <is>
          <t>—</t>
        </is>
      </c>
      <c r="Z187" s="2" t="inlineStr">
        <is>
          <t>—</t>
        </is>
      </c>
      <c r="AA187" s="2" t="inlineStr">
        <is>
          <t>—</t>
        </is>
      </c>
      <c r="AB187" s="2" t="inlineStr">
        <is>
          <t>—</t>
        </is>
      </c>
      <c r="AC187" s="2" t="inlineStr">
        <is>
          <t>—</t>
        </is>
      </c>
      <c r="AD187" s="3" t="n">
        <v>2</v>
      </c>
      <c r="AE187" s="2" t="inlineStr">
        <is>
          <t>Graph/supply-chain signal candidate.</t>
        </is>
      </c>
      <c r="AF187" s="2" t="inlineStr">
        <is>
          <t>Crossref match (title, author, year, journal)</t>
        </is>
      </c>
    </row>
    <row r="188">
      <c r="A188" s="2" t="inlineStr">
        <is>
          <t>CT2008</t>
        </is>
      </c>
      <c r="B188" s="2" t="inlineStr">
        <is>
          <t>Predicting Excess Stock Returns Out of Sample: Can Anything Beat the Historical Average?</t>
        </is>
      </c>
      <c r="C188" s="2" t="inlineStr">
        <is>
          <t>Campbell, J.Y.; Thompson, S.B.</t>
        </is>
      </c>
      <c r="D188" s="3" t="n">
        <v>2008</v>
      </c>
      <c r="E188" s="2" t="inlineStr">
        <is>
          <t>Review of Financial Studies 21(4):1509-1531</t>
        </is>
      </c>
      <c r="F188" s="2" t="inlineStr">
        <is>
          <t>T1 General Finance</t>
        </is>
      </c>
      <c r="G188" s="4" t="inlineStr">
        <is>
          <t>https://doi.org/10.1093/rfs/hhm055</t>
        </is>
      </c>
      <c r="H188" s="2" t="inlineStr">
        <is>
          <t>Factor timing &amp; regimes</t>
        </is>
      </c>
      <c r="I188" s="3" t="inlineStr">
        <is>
          <t>No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" t="inlineStr">
        <is>
          <t>—</t>
        </is>
      </c>
      <c r="R188" s="2" t="inlineStr">
        <is>
          <t>—</t>
        </is>
      </c>
      <c r="S188" s="2" t="inlineStr">
        <is>
          <t>—</t>
        </is>
      </c>
      <c r="T188" s="2" t="inlineStr">
        <is>
          <t>—</t>
        </is>
      </c>
      <c r="U188" s="2" t="inlineStr">
        <is>
          <t>—</t>
        </is>
      </c>
      <c r="V188" s="2" t="inlineStr">
        <is>
          <t>—</t>
        </is>
      </c>
      <c r="W188" s="2" t="inlineStr">
        <is>
          <t>—</t>
        </is>
      </c>
      <c r="X188" s="2" t="inlineStr">
        <is>
          <t>Weak restrictions on forecasts restore small but economically meaningful OOS predictability.</t>
        </is>
      </c>
      <c r="Y188" s="2" t="inlineStr">
        <is>
          <t>—</t>
        </is>
      </c>
      <c r="Z188" s="2" t="inlineStr">
        <is>
          <t>—</t>
        </is>
      </c>
      <c r="AA188" s="2" t="inlineStr">
        <is>
          <t>—</t>
        </is>
      </c>
      <c r="AB188" s="2" t="inlineStr">
        <is>
          <t>—</t>
        </is>
      </c>
      <c r="AC188" s="2" t="inlineStr">
        <is>
          <t>—</t>
        </is>
      </c>
      <c r="AD188" s="3" t="n">
        <v>2</v>
      </c>
      <c r="AE188" s="2" t="inlineStr">
        <is>
          <t>Economic restrictions on forecasts.</t>
        </is>
      </c>
      <c r="AF188" s="2" t="inlineStr">
        <is>
          <t>Crossref match (title, author, year, journal)</t>
        </is>
      </c>
    </row>
    <row r="189">
      <c r="A189" s="2" t="inlineStr">
        <is>
          <t>GT2007</t>
        </is>
      </c>
      <c r="B189" s="2" t="inlineStr">
        <is>
          <t>Asset Allocation under Multivariate Regime Switching</t>
        </is>
      </c>
      <c r="C189" s="2" t="inlineStr">
        <is>
          <t>Guidolin, M.; Timmermann, A.</t>
        </is>
      </c>
      <c r="D189" s="3" t="n">
        <v>2007</v>
      </c>
      <c r="E189" s="2" t="inlineStr">
        <is>
          <t>Journal of Economic Dynamics and Control 31(11):3503-3544</t>
        </is>
      </c>
      <c r="F189" s="2" t="inlineStr">
        <is>
          <t>T2 Quant/Field</t>
        </is>
      </c>
      <c r="G189" s="4" t="inlineStr">
        <is>
          <t>https://doi.org/10.1016/j.jedc.2006.12.004</t>
        </is>
      </c>
      <c r="H189" s="2" t="inlineStr">
        <is>
          <t>Factor timing &amp; regimes</t>
        </is>
      </c>
      <c r="I189" s="3" t="inlineStr">
        <is>
          <t>No</t>
        </is>
      </c>
      <c r="J189" s="2" t="inlineStr">
        <is>
          <t>—</t>
        </is>
      </c>
      <c r="K189" s="2" t="inlineStr">
        <is>
          <t>—</t>
        </is>
      </c>
      <c r="L189" s="2" t="inlineStr">
        <is>
          <t>—</t>
        </is>
      </c>
      <c r="M189" s="2" t="inlineStr">
        <is>
          <t>—</t>
        </is>
      </c>
      <c r="N189" s="2" t="inlineStr">
        <is>
          <t>—</t>
        </is>
      </c>
      <c r="O189" s="2" t="inlineStr">
        <is>
          <t>—</t>
        </is>
      </c>
      <c r="P189" s="2" t="inlineStr">
        <is>
          <t>—</t>
        </is>
      </c>
      <c r="Q189" s="2" t="inlineStr">
        <is>
          <t>—</t>
        </is>
      </c>
      <c r="R189" s="2" t="inlineStr">
        <is>
          <t>—</t>
        </is>
      </c>
      <c r="S189" s="2" t="inlineStr">
        <is>
          <t>—</t>
        </is>
      </c>
      <c r="T189" s="2" t="inlineStr">
        <is>
          <t>—</t>
        </is>
      </c>
      <c r="U189" s="2" t="inlineStr">
        <is>
          <t>—</t>
        </is>
      </c>
      <c r="V189" s="2" t="inlineStr">
        <is>
          <t>—</t>
        </is>
      </c>
      <c r="W189" s="2" t="inlineStr">
        <is>
          <t>—</t>
        </is>
      </c>
      <c r="X189" s="2" t="inlineStr">
        <is>
          <t>Four-state regime model changes optimal allocations materially.</t>
        </is>
      </c>
      <c r="Y189" s="2" t="inlineStr">
        <is>
          <t>—</t>
        </is>
      </c>
      <c r="Z189" s="2" t="inlineStr">
        <is>
          <t>—</t>
        </is>
      </c>
      <c r="AA189" s="2" t="inlineStr">
        <is>
          <t>—</t>
        </is>
      </c>
      <c r="AB189" s="2" t="inlineStr">
        <is>
          <t>—</t>
        </is>
      </c>
      <c r="AC189" s="2" t="inlineStr">
        <is>
          <t>—</t>
        </is>
      </c>
      <c r="AD189" s="3" t="n">
        <v>2</v>
      </c>
      <c r="AE189" s="2" t="inlineStr">
        <is>
          <t>Regime allocation baseline.</t>
        </is>
      </c>
      <c r="AF189" s="2" t="inlineStr">
        <is>
          <t>Crossref match (title, author, year, journal)</t>
        </is>
      </c>
    </row>
    <row r="190">
      <c r="A190" s="2" t="inlineStr">
        <is>
          <t>AHXZ2006</t>
        </is>
      </c>
      <c r="B190" s="2" t="inlineStr">
        <is>
          <t>The Cross-Section of Volatility and Expected Returns</t>
        </is>
      </c>
      <c r="C190" s="2" t="inlineStr">
        <is>
          <t>Ang, A.; Hodrick, R.J.; Xing, Y.; Zhang, X.</t>
        </is>
      </c>
      <c r="D190" s="3" t="n">
        <v>2006</v>
      </c>
      <c r="E190" s="2" t="inlineStr">
        <is>
          <t>Journal of Finance 61(1):259-299</t>
        </is>
      </c>
      <c r="F190" s="2" t="inlineStr">
        <is>
          <t>T1 General Finance</t>
        </is>
      </c>
      <c r="G190" s="4" t="inlineStr">
        <is>
          <t>https://doi.org/10.1111/j.1540-6261.2006.00836.x</t>
        </is>
      </c>
      <c r="H190" s="2" t="inlineStr">
        <is>
          <t>Data &amp; measurement</t>
        </is>
      </c>
      <c r="I190" s="3" t="inlineStr">
        <is>
          <t>No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" t="inlineStr">
        <is>
          <t>—</t>
        </is>
      </c>
      <c r="R190" s="2" t="inlineStr">
        <is>
          <t>—</t>
        </is>
      </c>
      <c r="S190" s="2" t="inlineStr">
        <is>
          <t>—</t>
        </is>
      </c>
      <c r="T190" s="2" t="inlineStr">
        <is>
          <t>—</t>
        </is>
      </c>
      <c r="U190" s="2" t="inlineStr">
        <is>
          <t>—</t>
        </is>
      </c>
      <c r="V190" s="2" t="inlineStr">
        <is>
          <t>—</t>
        </is>
      </c>
      <c r="W190" s="2" t="inlineStr">
        <is>
          <t>—</t>
        </is>
      </c>
      <c r="X190" s="2" t="inlineStr">
        <is>
          <t>High idiosyncratic volatility stocks earn low returns.</t>
        </is>
      </c>
      <c r="Y190" s="2" t="inlineStr">
        <is>
          <t>—</t>
        </is>
      </c>
      <c r="Z190" s="2" t="inlineStr">
        <is>
          <t>—</t>
        </is>
      </c>
      <c r="AA190" s="2" t="inlineStr">
        <is>
          <t>—</t>
        </is>
      </c>
      <c r="AB190" s="2" t="inlineStr">
        <is>
          <t>—</t>
        </is>
      </c>
      <c r="AC190" s="2" t="inlineStr">
        <is>
          <t>—</t>
        </is>
      </c>
      <c r="AD190" s="3" t="n">
        <v>2</v>
      </c>
      <c r="AE190" s="2" t="inlineStr">
        <is>
          <t>Signal library member; cited by BlackRock AIM.</t>
        </is>
      </c>
      <c r="AF190" s="2" t="inlineStr">
        <is>
          <t>Crossref match (title, author, year, journal)</t>
        </is>
      </c>
    </row>
    <row r="191">
      <c r="A191" s="2" t="inlineStr">
        <is>
          <t>ZH2005</t>
        </is>
      </c>
      <c r="B191" s="2" t="inlineStr">
        <is>
          <t>Regularization and Variable Selection via the Elastic Net</t>
        </is>
      </c>
      <c r="C191" s="2" t="inlineStr">
        <is>
          <t>Zou, H.; Hastie, T.</t>
        </is>
      </c>
      <c r="D191" s="3" t="n">
        <v>2005</v>
      </c>
      <c r="E191" s="2" t="inlineStr">
        <is>
          <t>Journal of the Royal Statistical Society Series B 67(2):301-320</t>
        </is>
      </c>
      <c r="F191" s="2" t="inlineStr">
        <is>
          <t>Econometrics general</t>
        </is>
      </c>
      <c r="G191" s="4" t="inlineStr">
        <is>
          <t>https://doi.org/10.1111/j.1467-9868.2005.00503.x</t>
        </is>
      </c>
      <c r="H191" s="2" t="inlineStr">
        <is>
          <t>ML methods</t>
        </is>
      </c>
      <c r="I191" s="3" t="inlineStr">
        <is>
          <t>No</t>
        </is>
      </c>
      <c r="J191" s="2" t="inlineStr">
        <is>
          <t>—</t>
        </is>
      </c>
      <c r="K191" s="2" t="inlineStr">
        <is>
          <t>—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—</t>
        </is>
      </c>
      <c r="Q191" s="2" t="inlineStr">
        <is>
          <t>—</t>
        </is>
      </c>
      <c r="R191" s="2" t="inlineStr">
        <is>
          <t>—</t>
        </is>
      </c>
      <c r="S191" s="2" t="inlineStr">
        <is>
          <t>—</t>
        </is>
      </c>
      <c r="T191" s="2" t="inlineStr">
        <is>
          <t>—</t>
        </is>
      </c>
      <c r="U191" s="2" t="inlineStr">
        <is>
          <t>—</t>
        </is>
      </c>
      <c r="V191" s="2" t="inlineStr">
        <is>
          <t>—</t>
        </is>
      </c>
      <c r="W191" s="2" t="inlineStr">
        <is>
          <t>—</t>
        </is>
      </c>
      <c r="X191" s="2" t="inlineStr">
        <is>
          <t>Elastic net.</t>
        </is>
      </c>
      <c r="Y191" s="2" t="inlineStr">
        <is>
          <t>—</t>
        </is>
      </c>
      <c r="Z191" s="2" t="inlineStr">
        <is>
          <t>—</t>
        </is>
      </c>
      <c r="AA191" s="2" t="inlineStr">
        <is>
          <t>—</t>
        </is>
      </c>
      <c r="AB191" s="2" t="inlineStr">
        <is>
          <t>—</t>
        </is>
      </c>
      <c r="AC191" s="2" t="inlineStr">
        <is>
          <t>—</t>
        </is>
      </c>
      <c r="AD191" s="3" t="n">
        <v>2</v>
      </c>
      <c r="AE191" s="2" t="inlineStr">
        <is>
          <t>Linear baseline.</t>
        </is>
      </c>
      <c r="AF191" s="2" t="inlineStr">
        <is>
          <t>Crossref match (title, author, year, journal)</t>
        </is>
      </c>
    </row>
    <row r="192">
      <c r="A192" s="2" t="inlineStr">
        <is>
          <t>LSZ2004</t>
        </is>
      </c>
      <c r="B192" s="2" t="inlineStr">
        <is>
          <t>The Illusory Nature of Momentum Profits</t>
        </is>
      </c>
      <c r="C192" s="2" t="inlineStr">
        <is>
          <t>Lesmond, D.A.; Schill, M.J.; Zhou, C.</t>
        </is>
      </c>
      <c r="D192" s="3" t="n">
        <v>2004</v>
      </c>
      <c r="E192" s="2" t="inlineStr">
        <is>
          <t>Journal of Financial Economics 71(2):349-380</t>
        </is>
      </c>
      <c r="F192" s="2" t="inlineStr">
        <is>
          <t>T1 General Finance</t>
        </is>
      </c>
      <c r="G192" s="4" t="inlineStr">
        <is>
          <t>https://doi.org/10.1016/s0304-405x(03)00206-x</t>
        </is>
      </c>
      <c r="H192" s="2" t="inlineStr">
        <is>
          <t>TC &amp; implementability</t>
        </is>
      </c>
      <c r="I192" s="3" t="inlineStr">
        <is>
          <t>No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" t="inlineStr">
        <is>
          <t>—</t>
        </is>
      </c>
      <c r="R192" s="2" t="inlineStr">
        <is>
          <t>—</t>
        </is>
      </c>
      <c r="S192" s="2" t="inlineStr">
        <is>
          <t>—</t>
        </is>
      </c>
      <c r="T192" s="2" t="inlineStr">
        <is>
          <t>—</t>
        </is>
      </c>
      <c r="U192" s="2" t="inlineStr">
        <is>
          <t>—</t>
        </is>
      </c>
      <c r="V192" s="2" t="inlineStr">
        <is>
          <t>—</t>
        </is>
      </c>
      <c r="W192" s="2" t="inlineStr">
        <is>
          <t>—</t>
        </is>
      </c>
      <c r="X192" s="2" t="inlineStr">
        <is>
          <t>Momentum concentrated in high-cost stocks; profits illusory after costs.</t>
        </is>
      </c>
      <c r="Y192" s="2" t="inlineStr">
        <is>
          <t>—</t>
        </is>
      </c>
      <c r="Z192" s="2" t="inlineStr">
        <is>
          <t>—</t>
        </is>
      </c>
      <c r="AA192" s="2" t="inlineStr">
        <is>
          <t>—</t>
        </is>
      </c>
      <c r="AB192" s="2" t="inlineStr">
        <is>
          <t>—</t>
        </is>
      </c>
      <c r="AC192" s="2" t="inlineStr">
        <is>
          <t>—</t>
        </is>
      </c>
      <c r="AD192" s="3" t="n">
        <v>2</v>
      </c>
      <c r="AE192" s="2" t="inlineStr">
        <is>
          <t>Cost pessimism reference.</t>
        </is>
      </c>
      <c r="AF192" s="2" t="inlineStr">
        <is>
          <t>Crossref match (title, author, year, journal)</t>
        </is>
      </c>
    </row>
    <row r="193">
      <c r="A193" s="2" t="inlineStr">
        <is>
          <t>AB2002</t>
        </is>
      </c>
      <c r="B193" s="2" t="inlineStr">
        <is>
          <t>International Asset Allocation with Regime Shifts</t>
        </is>
      </c>
      <c r="C193" s="2" t="inlineStr">
        <is>
          <t>Ang, A.; Bekaert, G.</t>
        </is>
      </c>
      <c r="D193" s="3" t="n">
        <v>2002</v>
      </c>
      <c r="E193" s="2" t="inlineStr">
        <is>
          <t>Review of Financial Studies 15(4):1137-1187</t>
        </is>
      </c>
      <c r="F193" s="2" t="inlineStr">
        <is>
          <t>T1 General Finance</t>
        </is>
      </c>
      <c r="G193" s="4" t="inlineStr">
        <is>
          <t>https://doi.org/10.1093/rfs/15.4.1137</t>
        </is>
      </c>
      <c r="H193" s="2" t="inlineStr">
        <is>
          <t>Factor timing &amp; regimes</t>
        </is>
      </c>
      <c r="I193" s="3" t="inlineStr">
        <is>
          <t>No</t>
        </is>
      </c>
      <c r="J193" s="2" t="inlineStr">
        <is>
          <t>—</t>
        </is>
      </c>
      <c r="K193" s="2" t="inlineStr">
        <is>
          <t>—</t>
        </is>
      </c>
      <c r="L193" s="2" t="inlineStr">
        <is>
          <t>—</t>
        </is>
      </c>
      <c r="M193" s="2" t="inlineStr">
        <is>
          <t>—</t>
        </is>
      </c>
      <c r="N193" s="2" t="inlineStr">
        <is>
          <t>—</t>
        </is>
      </c>
      <c r="O193" s="2" t="inlineStr">
        <is>
          <t>—</t>
        </is>
      </c>
      <c r="P193" s="2" t="inlineStr">
        <is>
          <t>—</t>
        </is>
      </c>
      <c r="Q193" s="2" t="inlineStr">
        <is>
          <t>—</t>
        </is>
      </c>
      <c r="R193" s="2" t="inlineStr">
        <is>
          <t>—</t>
        </is>
      </c>
      <c r="S193" s="2" t="inlineStr">
        <is>
          <t>—</t>
        </is>
      </c>
      <c r="T193" s="2" t="inlineStr">
        <is>
          <t>—</t>
        </is>
      </c>
      <c r="U193" s="2" t="inlineStr">
        <is>
          <t>—</t>
        </is>
      </c>
      <c r="V193" s="2" t="inlineStr">
        <is>
          <t>—</t>
        </is>
      </c>
      <c r="W193" s="2" t="inlineStr">
        <is>
          <t>—</t>
        </is>
      </c>
      <c r="X193" s="2" t="inlineStr">
        <is>
          <t>Regime-switching correlations and volatilities matter for international allocation.</t>
        </is>
      </c>
      <c r="Y193" s="2" t="inlineStr">
        <is>
          <t>—</t>
        </is>
      </c>
      <c r="Z193" s="2" t="inlineStr">
        <is>
          <t>—</t>
        </is>
      </c>
      <c r="AA193" s="2" t="inlineStr">
        <is>
          <t>—</t>
        </is>
      </c>
      <c r="AB193" s="2" t="inlineStr">
        <is>
          <t>—</t>
        </is>
      </c>
      <c r="AC193" s="2" t="inlineStr">
        <is>
          <t>—</t>
        </is>
      </c>
      <c r="AD193" s="3" t="n">
        <v>2</v>
      </c>
      <c r="AE193" s="2" t="inlineStr">
        <is>
          <t>Regime-model foundation.</t>
        </is>
      </c>
      <c r="AF193" s="2" t="inlineStr">
        <is>
          <t>Crossref match (title, author, year, journal)</t>
        </is>
      </c>
    </row>
    <row r="194">
      <c r="A194" s="2" t="inlineStr">
        <is>
          <t>MS2001</t>
        </is>
      </c>
      <c r="B194" s="2" t="inlineStr">
        <is>
          <t>Learning to Trade via Direct Reinforcement</t>
        </is>
      </c>
      <c r="C194" s="2" t="inlineStr">
        <is>
          <t>Moody, J.; Saffell, M.</t>
        </is>
      </c>
      <c r="D194" s="3" t="n">
        <v>2001</v>
      </c>
      <c r="E194" s="2" t="inlineStr">
        <is>
          <t>IEEE Transactions on Neural Networks 12(4):875-889</t>
        </is>
      </c>
      <c r="F194" s="2" t="inlineStr">
        <is>
          <t>ML venue</t>
        </is>
      </c>
      <c r="G194" s="4" t="inlineStr">
        <is>
          <t>https://doi.org/10.1109/72.935097</t>
        </is>
      </c>
      <c r="H194" s="2" t="inlineStr">
        <is>
          <t>End-to-end / decision-focused</t>
        </is>
      </c>
      <c r="I194" s="3" t="inlineStr">
        <is>
          <t>No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" t="inlineStr">
        <is>
          <t>—</t>
        </is>
      </c>
      <c r="R194" s="2" t="inlineStr">
        <is>
          <t>—</t>
        </is>
      </c>
      <c r="S194" s="2" t="inlineStr">
        <is>
          <t>—</t>
        </is>
      </c>
      <c r="T194" s="2" t="inlineStr">
        <is>
          <t>—</t>
        </is>
      </c>
      <c r="U194" s="2" t="inlineStr">
        <is>
          <t>—</t>
        </is>
      </c>
      <c r="V194" s="2" t="inlineStr">
        <is>
          <t>—</t>
        </is>
      </c>
      <c r="W194" s="2" t="inlineStr">
        <is>
          <t>—</t>
        </is>
      </c>
      <c r="X194" s="2" t="inlineStr">
        <is>
          <t>Recurrent reinforcement learning optimises differential Sharpe ratio with costs.</t>
        </is>
      </c>
      <c r="Y194" s="2" t="inlineStr">
        <is>
          <t>—</t>
        </is>
      </c>
      <c r="Z194" s="2" t="inlineStr">
        <is>
          <t>—</t>
        </is>
      </c>
      <c r="AA194" s="2" t="inlineStr">
        <is>
          <t>—</t>
        </is>
      </c>
      <c r="AB194" s="2" t="inlineStr">
        <is>
          <t>—</t>
        </is>
      </c>
      <c r="AC194" s="2" t="inlineStr">
        <is>
          <t>—</t>
        </is>
      </c>
      <c r="AD194" s="3" t="n">
        <v>2</v>
      </c>
      <c r="AE194" s="2" t="inlineStr">
        <is>
          <t>Historical RL foundation.</t>
        </is>
      </c>
      <c r="AF194" s="2" t="inlineStr">
        <is>
          <t>DOI from publisher page/search; Crossref-confirmed</t>
        </is>
      </c>
    </row>
    <row r="195">
      <c r="A195" s="2" t="inlineStr">
        <is>
          <t>RU2000</t>
        </is>
      </c>
      <c r="B195" s="2" t="inlineStr">
        <is>
          <t>Optimization of Conditional Value-at-Risk</t>
        </is>
      </c>
      <c r="C195" s="2" t="inlineStr">
        <is>
          <t>Rockafellar, R.T.; Uryasev, S.</t>
        </is>
      </c>
      <c r="D195" s="3" t="n">
        <v>2000</v>
      </c>
      <c r="E195" s="2" t="inlineStr">
        <is>
          <t>Journal of Risk 2(3):21-41</t>
        </is>
      </c>
      <c r="F195" s="2" t="inlineStr">
        <is>
          <t>T2 Quant/Field</t>
        </is>
      </c>
      <c r="G195" s="4" t="inlineStr">
        <is>
          <t>https://doi.org/10.21314/jor.2000.038</t>
        </is>
      </c>
      <c r="H195" s="2" t="inlineStr">
        <is>
          <t>Portfolio construction</t>
        </is>
      </c>
      <c r="I195" s="3" t="inlineStr">
        <is>
          <t>No</t>
        </is>
      </c>
      <c r="J195" s="2" t="inlineStr">
        <is>
          <t>—</t>
        </is>
      </c>
      <c r="K195" s="2" t="inlineStr">
        <is>
          <t>—</t>
        </is>
      </c>
      <c r="L195" s="2" t="inlineStr">
        <is>
          <t>—</t>
        </is>
      </c>
      <c r="M195" s="2" t="inlineStr">
        <is>
          <t>—</t>
        </is>
      </c>
      <c r="N195" s="2" t="inlineStr">
        <is>
          <t>—</t>
        </is>
      </c>
      <c r="O195" s="2" t="inlineStr">
        <is>
          <t>—</t>
        </is>
      </c>
      <c r="P195" s="2" t="inlineStr">
        <is>
          <t>—</t>
        </is>
      </c>
      <c r="Q195" s="2" t="inlineStr">
        <is>
          <t>—</t>
        </is>
      </c>
      <c r="R195" s="2" t="inlineStr">
        <is>
          <t>—</t>
        </is>
      </c>
      <c r="S195" s="2" t="inlineStr">
        <is>
          <t>—</t>
        </is>
      </c>
      <c r="T195" s="2" t="inlineStr">
        <is>
          <t>—</t>
        </is>
      </c>
      <c r="U195" s="2" t="inlineStr">
        <is>
          <t>—</t>
        </is>
      </c>
      <c r="V195" s="2" t="inlineStr">
        <is>
          <t>—</t>
        </is>
      </c>
      <c r="W195" s="2" t="inlineStr">
        <is>
          <t>—</t>
        </is>
      </c>
      <c r="X195" s="2" t="inlineStr">
        <is>
          <t>Linear-programming formulation for CVaR optimisation.</t>
        </is>
      </c>
      <c r="Y195" s="2" t="inlineStr">
        <is>
          <t>—</t>
        </is>
      </c>
      <c r="Z195" s="2" t="inlineStr">
        <is>
          <t>—</t>
        </is>
      </c>
      <c r="AA195" s="2" t="inlineStr">
        <is>
          <t>—</t>
        </is>
      </c>
      <c r="AB195" s="2" t="inlineStr">
        <is>
          <t>—</t>
        </is>
      </c>
      <c r="AC195" s="2" t="inlineStr">
        <is>
          <t>—</t>
        </is>
      </c>
      <c r="AD195" s="3" t="n">
        <v>2</v>
      </c>
      <c r="AE195" s="2" t="inlineStr">
        <is>
          <t>Tail-risk optimiser variant.</t>
        </is>
      </c>
      <c r="AF195" s="2" t="inlineStr">
        <is>
          <t>Crossref match (title, author, year, journal)</t>
        </is>
      </c>
    </row>
    <row r="196">
      <c r="A196" s="2" t="inlineStr">
        <is>
          <t>CAR1997</t>
        </is>
      </c>
      <c r="B196" s="2" t="inlineStr">
        <is>
          <t>On Persistence in Mutual Fund Performance</t>
        </is>
      </c>
      <c r="C196" s="2" t="inlineStr">
        <is>
          <t>Carhart, M.M.</t>
        </is>
      </c>
      <c r="D196" s="3" t="n">
        <v>1997</v>
      </c>
      <c r="E196" s="2" t="inlineStr">
        <is>
          <t>Journal of Finance 52(1):57-82</t>
        </is>
      </c>
      <c r="F196" s="2" t="inlineStr">
        <is>
          <t>T1 General Finance</t>
        </is>
      </c>
      <c r="G196" s="4" t="inlineStr">
        <is>
          <t>https://doi.org/10.1111/j.1540-6261.1997.tb03808.x</t>
        </is>
      </c>
      <c r="H196" s="2" t="inlineStr">
        <is>
          <t>Data &amp; measurement</t>
        </is>
      </c>
      <c r="I196" s="3" t="inlineStr">
        <is>
          <t>No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" t="inlineStr">
        <is>
          <t>—</t>
        </is>
      </c>
      <c r="R196" s="2" t="inlineStr">
        <is>
          <t>—</t>
        </is>
      </c>
      <c r="S196" s="2" t="inlineStr">
        <is>
          <t>—</t>
        </is>
      </c>
      <c r="T196" s="2" t="inlineStr">
        <is>
          <t>—</t>
        </is>
      </c>
      <c r="U196" s="2" t="inlineStr">
        <is>
          <t>—</t>
        </is>
      </c>
      <c r="V196" s="2" t="inlineStr">
        <is>
          <t>—</t>
        </is>
      </c>
      <c r="W196" s="2" t="inlineStr">
        <is>
          <t>—</t>
        </is>
      </c>
      <c r="X196" s="2" t="inlineStr">
        <is>
          <t>Adds momentum factor to three-factor model.</t>
        </is>
      </c>
      <c r="Y196" s="2" t="inlineStr">
        <is>
          <t>—</t>
        </is>
      </c>
      <c r="Z196" s="2" t="inlineStr">
        <is>
          <t>—</t>
        </is>
      </c>
      <c r="AA196" s="2" t="inlineStr">
        <is>
          <t>—</t>
        </is>
      </c>
      <c r="AB196" s="2" t="inlineStr">
        <is>
          <t>—</t>
        </is>
      </c>
      <c r="AC196" s="2" t="inlineStr">
        <is>
          <t>—</t>
        </is>
      </c>
      <c r="AD196" s="3" t="n">
        <v>2</v>
      </c>
      <c r="AE196" s="2" t="inlineStr">
        <is>
          <t>Alpha benchmark (UMD).</t>
        </is>
      </c>
      <c r="AF196" s="2" t="inlineStr">
        <is>
          <t>Crossref match (title, author, year, journal)</t>
        </is>
      </c>
    </row>
    <row r="197">
      <c r="A197" s="2" t="inlineStr">
        <is>
          <t>HS1997</t>
        </is>
      </c>
      <c r="B197" s="2" t="inlineStr">
        <is>
          <t>Long Short-Term Memory</t>
        </is>
      </c>
      <c r="C197" s="2" t="inlineStr">
        <is>
          <t>Hochreiter, S.; Schmidhuber, J.</t>
        </is>
      </c>
      <c r="D197" s="3" t="n">
        <v>1997</v>
      </c>
      <c r="E197" s="2" t="inlineStr">
        <is>
          <t>Neural Computation 9(8):1735-1780</t>
        </is>
      </c>
      <c r="F197" s="2" t="inlineStr">
        <is>
          <t>ML venue</t>
        </is>
      </c>
      <c r="G197" s="4" t="inlineStr">
        <is>
          <t>https://doi.org/10.1162/neco.1997.9.8.1735</t>
        </is>
      </c>
      <c r="H197" s="2" t="inlineStr">
        <is>
          <t>ML methods</t>
        </is>
      </c>
      <c r="I197" s="3" t="inlineStr">
        <is>
          <t>No</t>
        </is>
      </c>
      <c r="J197" s="2" t="inlineStr">
        <is>
          <t>—</t>
        </is>
      </c>
      <c r="K197" s="2" t="inlineStr">
        <is>
          <t>—</t>
        </is>
      </c>
      <c r="L197" s="2" t="inlineStr">
        <is>
          <t>—</t>
        </is>
      </c>
      <c r="M197" s="2" t="inlineStr">
        <is>
          <t>—</t>
        </is>
      </c>
      <c r="N197" s="2" t="inlineStr">
        <is>
          <t>—</t>
        </is>
      </c>
      <c r="O197" s="2" t="inlineStr">
        <is>
          <t>—</t>
        </is>
      </c>
      <c r="P197" s="2" t="inlineStr">
        <is>
          <t>—</t>
        </is>
      </c>
      <c r="Q197" s="2" t="inlineStr">
        <is>
          <t>—</t>
        </is>
      </c>
      <c r="R197" s="2" t="inlineStr">
        <is>
          <t>—</t>
        </is>
      </c>
      <c r="S197" s="2" t="inlineStr">
        <is>
          <t>—</t>
        </is>
      </c>
      <c r="T197" s="2" t="inlineStr">
        <is>
          <t>—</t>
        </is>
      </c>
      <c r="U197" s="2" t="inlineStr">
        <is>
          <t>—</t>
        </is>
      </c>
      <c r="V197" s="2" t="inlineStr">
        <is>
          <t>—</t>
        </is>
      </c>
      <c r="W197" s="2" t="inlineStr">
        <is>
          <t>—</t>
        </is>
      </c>
      <c r="X197" s="2" t="inlineStr">
        <is>
          <t>LSTM.</t>
        </is>
      </c>
      <c r="Y197" s="2" t="inlineStr">
        <is>
          <t>—</t>
        </is>
      </c>
      <c r="Z197" s="2" t="inlineStr">
        <is>
          <t>—</t>
        </is>
      </c>
      <c r="AA197" s="2" t="inlineStr">
        <is>
          <t>—</t>
        </is>
      </c>
      <c r="AB197" s="2" t="inlineStr">
        <is>
          <t>—</t>
        </is>
      </c>
      <c r="AC197" s="2" t="inlineStr">
        <is>
          <t>—</t>
        </is>
      </c>
      <c r="AD197" s="3" t="n">
        <v>2</v>
      </c>
      <c r="AE197" s="2" t="inlineStr">
        <is>
          <t>Recurrent baseline.</t>
        </is>
      </c>
      <c r="AF197" s="2" t="inlineStr">
        <is>
          <t>Crossref match (title, author, year, journal)</t>
        </is>
      </c>
    </row>
    <row r="198">
      <c r="A198" s="2" t="inlineStr">
        <is>
          <t>TIB1996</t>
        </is>
      </c>
      <c r="B198" s="2" t="inlineStr">
        <is>
          <t>Regression Shrinkage and Selection via the Lasso</t>
        </is>
      </c>
      <c r="C198" s="2" t="inlineStr">
        <is>
          <t>Tibshirani, R.</t>
        </is>
      </c>
      <c r="D198" s="3" t="n">
        <v>1996</v>
      </c>
      <c r="E198" s="2" t="inlineStr">
        <is>
          <t>Journal of the Royal Statistical Society Series B 58(1):267-288</t>
        </is>
      </c>
      <c r="F198" s="2" t="inlineStr">
        <is>
          <t>Econometrics general</t>
        </is>
      </c>
      <c r="G198" s="4" t="inlineStr">
        <is>
          <t>https://doi.org/10.1111/j.2517-6161.1996.tb02080.x</t>
        </is>
      </c>
      <c r="H198" s="2" t="inlineStr">
        <is>
          <t>ML methods</t>
        </is>
      </c>
      <c r="I198" s="3" t="inlineStr">
        <is>
          <t>No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" t="inlineStr">
        <is>
          <t>—</t>
        </is>
      </c>
      <c r="R198" s="2" t="inlineStr">
        <is>
          <t>—</t>
        </is>
      </c>
      <c r="S198" s="2" t="inlineStr">
        <is>
          <t>—</t>
        </is>
      </c>
      <c r="T198" s="2" t="inlineStr">
        <is>
          <t>—</t>
        </is>
      </c>
      <c r="U198" s="2" t="inlineStr">
        <is>
          <t>—</t>
        </is>
      </c>
      <c r="V198" s="2" t="inlineStr">
        <is>
          <t>—</t>
        </is>
      </c>
      <c r="W198" s="2" t="inlineStr">
        <is>
          <t>—</t>
        </is>
      </c>
      <c r="X198" s="2" t="inlineStr">
        <is>
          <t>LASSO.</t>
        </is>
      </c>
      <c r="Y198" s="2" t="inlineStr">
        <is>
          <t>—</t>
        </is>
      </c>
      <c r="Z198" s="2" t="inlineStr">
        <is>
          <t>—</t>
        </is>
      </c>
      <c r="AA198" s="2" t="inlineStr">
        <is>
          <t>—</t>
        </is>
      </c>
      <c r="AB198" s="2" t="inlineStr">
        <is>
          <t>—</t>
        </is>
      </c>
      <c r="AC198" s="2" t="inlineStr">
        <is>
          <t>—</t>
        </is>
      </c>
      <c r="AD198" s="3" t="n">
        <v>2</v>
      </c>
      <c r="AE198" s="2" t="inlineStr">
        <is>
          <t>Linear sparse baseline.</t>
        </is>
      </c>
      <c r="AF198" s="2" t="inlineStr">
        <is>
          <t>Crossref match (title, author, year, journal)</t>
        </is>
      </c>
    </row>
    <row r="199">
      <c r="A199" s="2" t="inlineStr">
        <is>
          <t>HAM1989</t>
        </is>
      </c>
      <c r="B199" s="2" t="inlineStr">
        <is>
          <t>A New Approach to the Economic Analysis of Nonstationary Time Series and the Business Cycle</t>
        </is>
      </c>
      <c r="C199" s="2" t="inlineStr">
        <is>
          <t>Hamilton, J.D.</t>
        </is>
      </c>
      <c r="D199" s="3" t="n">
        <v>1989</v>
      </c>
      <c r="E199" s="2" t="inlineStr">
        <is>
          <t>Econometrica 57(2):357-384</t>
        </is>
      </c>
      <c r="F199" s="2" t="inlineStr">
        <is>
          <t>Econometrics general</t>
        </is>
      </c>
      <c r="G199" s="4" t="inlineStr">
        <is>
          <t>https://doi.org/10.2307/1912559</t>
        </is>
      </c>
      <c r="H199" s="2" t="inlineStr">
        <is>
          <t>Factor timing &amp; regimes</t>
        </is>
      </c>
      <c r="I199" s="3" t="inlineStr">
        <is>
          <t>No</t>
        </is>
      </c>
      <c r="J199" s="2" t="inlineStr">
        <is>
          <t>—</t>
        </is>
      </c>
      <c r="K199" s="2" t="inlineStr">
        <is>
          <t>—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—</t>
        </is>
      </c>
      <c r="Q199" s="2" t="inlineStr">
        <is>
          <t>—</t>
        </is>
      </c>
      <c r="R199" s="2" t="inlineStr">
        <is>
          <t>—</t>
        </is>
      </c>
      <c r="S199" s="2" t="inlineStr">
        <is>
          <t>—</t>
        </is>
      </c>
      <c r="T199" s="2" t="inlineStr">
        <is>
          <t>—</t>
        </is>
      </c>
      <c r="U199" s="2" t="inlineStr">
        <is>
          <t>—</t>
        </is>
      </c>
      <c r="V199" s="2" t="inlineStr">
        <is>
          <t>—</t>
        </is>
      </c>
      <c r="W199" s="2" t="inlineStr">
        <is>
          <t>—</t>
        </is>
      </c>
      <c r="X199" s="2" t="inlineStr">
        <is>
          <t>Markov-switching model.</t>
        </is>
      </c>
      <c r="Y199" s="2" t="inlineStr">
        <is>
          <t>—</t>
        </is>
      </c>
      <c r="Z199" s="2" t="inlineStr">
        <is>
          <t>—</t>
        </is>
      </c>
      <c r="AA199" s="2" t="inlineStr">
        <is>
          <t>—</t>
        </is>
      </c>
      <c r="AB199" s="2" t="inlineStr">
        <is>
          <t>—</t>
        </is>
      </c>
      <c r="AC199" s="2" t="inlineStr">
        <is>
          <t>—</t>
        </is>
      </c>
      <c r="AD199" s="3" t="n">
        <v>2</v>
      </c>
      <c r="AE199" s="2" t="inlineStr">
        <is>
          <t>Regime-detection baseline.</t>
        </is>
      </c>
      <c r="AF199" s="2" t="inlineStr">
        <is>
          <t>Crossref match (title, author, year, journal)</t>
        </is>
      </c>
    </row>
    <row r="200">
      <c r="A200" s="2" t="inlineStr">
        <is>
          <t>KMN2023</t>
        </is>
      </c>
      <c r="B200" s="2" t="inlineStr">
        <is>
          <t>Machine-Learning the Skill of Mutual Fund Managers</t>
        </is>
      </c>
      <c r="C200" s="2" t="inlineStr">
        <is>
          <t>Kaniel, R.; Lin, Z.; Pelger, M.; Van Nieuwerburgh, S.</t>
        </is>
      </c>
      <c r="D200" s="3" t="n">
        <v>2023</v>
      </c>
      <c r="E200" s="2" t="inlineStr">
        <is>
          <t>Journal of Financial Economics 150(1):94-138</t>
        </is>
      </c>
      <c r="F200" s="2" t="inlineStr">
        <is>
          <t>T1 General Finance</t>
        </is>
      </c>
      <c r="G200" s="4" t="inlineStr">
        <is>
          <t>https://doi.org/10.1016/j.jfineco.2023.07.004</t>
        </is>
      </c>
      <c r="H200" s="2" t="inlineStr">
        <is>
          <t>ML asset pricing</t>
        </is>
      </c>
      <c r="I200" s="3" t="inlineStr">
        <is>
          <t>No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" t="inlineStr">
        <is>
          <t>—</t>
        </is>
      </c>
      <c r="R200" s="2" t="inlineStr">
        <is>
          <t>—</t>
        </is>
      </c>
      <c r="S200" s="2" t="inlineStr">
        <is>
          <t>—</t>
        </is>
      </c>
      <c r="T200" s="2" t="inlineStr">
        <is>
          <t>—</t>
        </is>
      </c>
      <c r="U200" s="2" t="inlineStr">
        <is>
          <t>—</t>
        </is>
      </c>
      <c r="V200" s="2" t="inlineStr">
        <is>
          <t>—</t>
        </is>
      </c>
      <c r="W200" s="2" t="inlineStr">
        <is>
          <t>—</t>
        </is>
      </c>
      <c r="X200" s="2" t="inlineStr">
        <is>
          <t>Neural nets identify fund outperformance; fund momentum and flows matter, interacting with sentiment.</t>
        </is>
      </c>
      <c r="Y200" s="2" t="inlineStr">
        <is>
          <t>—</t>
        </is>
      </c>
      <c r="Z200" s="2" t="inlineStr">
        <is>
          <t>—</t>
        </is>
      </c>
      <c r="AA200" s="2" t="inlineStr">
        <is>
          <t>—</t>
        </is>
      </c>
      <c r="AB200" s="2" t="inlineStr">
        <is>
          <t>—</t>
        </is>
      </c>
      <c r="AC200" s="2" t="inlineStr">
        <is>
          <t>—</t>
        </is>
      </c>
      <c r="AD200" s="3" t="n">
        <v>1</v>
      </c>
      <c r="AE200" s="2" t="inlineStr">
        <is>
          <t>ML interpretability example.</t>
        </is>
      </c>
      <c r="AF200" s="2" t="inlineStr">
        <is>
          <t>Crossref match (title, author, year, journal)</t>
        </is>
      </c>
    </row>
    <row r="201">
      <c r="A201" s="2" t="inlineStr">
        <is>
          <t>OP2022</t>
        </is>
      </c>
      <c r="B201" s="2" t="inlineStr">
        <is>
          <t>A Picture Is Worth a Thousand Words: Measuring Investor Sentiment by Combining Machine Learning and Photos from News</t>
        </is>
      </c>
      <c r="C201" s="2" t="inlineStr">
        <is>
          <t>Obaid, K.; Pukthuanthong, K.</t>
        </is>
      </c>
      <c r="D201" s="3" t="n">
        <v>2022</v>
      </c>
      <c r="E201" s="2" t="inlineStr">
        <is>
          <t>Journal of Financial Economics 144(1):273-297</t>
        </is>
      </c>
      <c r="F201" s="2" t="inlineStr">
        <is>
          <t>T1 General Finance</t>
        </is>
      </c>
      <c r="G201" s="4" t="inlineStr">
        <is>
          <t>https://doi.org/10.1016/j.jfineco.2021.06.002</t>
        </is>
      </c>
      <c r="H201" s="2" t="inlineStr">
        <is>
          <t>ML asset pricing</t>
        </is>
      </c>
      <c r="I201" s="3" t="inlineStr">
        <is>
          <t>No</t>
        </is>
      </c>
      <c r="J201" s="2" t="inlineStr">
        <is>
          <t>—</t>
        </is>
      </c>
      <c r="K201" s="2" t="inlineStr">
        <is>
          <t>—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—</t>
        </is>
      </c>
      <c r="Q201" s="2" t="inlineStr">
        <is>
          <t>—</t>
        </is>
      </c>
      <c r="R201" s="2" t="inlineStr">
        <is>
          <t>—</t>
        </is>
      </c>
      <c r="S201" s="2" t="inlineStr">
        <is>
          <t>—</t>
        </is>
      </c>
      <c r="T201" s="2" t="inlineStr">
        <is>
          <t>—</t>
        </is>
      </c>
      <c r="U201" s="2" t="inlineStr">
        <is>
          <t>—</t>
        </is>
      </c>
      <c r="V201" s="2" t="inlineStr">
        <is>
          <t>—</t>
        </is>
      </c>
      <c r="W201" s="2" t="inlineStr">
        <is>
          <t>—</t>
        </is>
      </c>
      <c r="X201" s="2" t="inlineStr">
        <is>
          <t>Photo-based sentiment index predicts market returns and reversals.</t>
        </is>
      </c>
      <c r="Y201" s="2" t="inlineStr">
        <is>
          <t>—</t>
        </is>
      </c>
      <c r="Z201" s="2" t="inlineStr">
        <is>
          <t>—</t>
        </is>
      </c>
      <c r="AA201" s="2" t="inlineStr">
        <is>
          <t>—</t>
        </is>
      </c>
      <c r="AB201" s="2" t="inlineStr">
        <is>
          <t>—</t>
        </is>
      </c>
      <c r="AC201" s="2" t="inlineStr">
        <is>
          <t>—</t>
        </is>
      </c>
      <c r="AD201" s="3" t="n">
        <v>1</v>
      </c>
      <c r="AE201" s="2" t="inlineStr">
        <is>
          <t>Alternative-data state variable candidate.</t>
        </is>
      </c>
      <c r="AF201" s="2" t="inlineStr">
        <is>
          <t>Crossref match (title, author, year, journal)</t>
        </is>
      </c>
    </row>
  </sheetData>
  <autoFilter ref="A1:AF201"/>
  <conditionalFormatting sqref="AD2:AD201">
    <cfRule type="colorScale" priority="1">
      <colorScale>
        <cfvo type="num" val="1"/>
        <cfvo type="num" val="5"/>
        <color rgb="00F4F4F1"/>
        <color rgb="006DA7EC"/>
      </colorScale>
    </cfRule>
  </conditionalFormatting>
  <conditionalFormatting sqref="A2:I201">
    <cfRule type="expression" priority="2" dxfId="0">
      <formula>$I2="Yes"</formula>
    </cfRule>
  </conditionalFormatting>
  <conditionalFormatting sqref="AF2:AF201">
    <cfRule type="expression" priority="3" dxfId="1">
      <formula>ISNUMBER(SEARCH("Crossref",$AF2))</formula>
    </cfRule>
    <cfRule type="expression" priority="4" dxfId="2">
      <formula>ISNUMBER(SEARCH("No DOI",$AF2))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2" r:id="rId44"/>
    <hyperlink xmlns:r="http://schemas.openxmlformats.org/officeDocument/2006/relationships" ref="G53" r:id="rId45"/>
    <hyperlink xmlns:r="http://schemas.openxmlformats.org/officeDocument/2006/relationships" ref="G54" r:id="rId46"/>
    <hyperlink xmlns:r="http://schemas.openxmlformats.org/officeDocument/2006/relationships" ref="G56" r:id="rId47"/>
    <hyperlink xmlns:r="http://schemas.openxmlformats.org/officeDocument/2006/relationships" ref="G57" r:id="rId48"/>
    <hyperlink xmlns:r="http://schemas.openxmlformats.org/officeDocument/2006/relationships" ref="G58" r:id="rId49"/>
    <hyperlink xmlns:r="http://schemas.openxmlformats.org/officeDocument/2006/relationships" ref="G59" r:id="rId50"/>
    <hyperlink xmlns:r="http://schemas.openxmlformats.org/officeDocument/2006/relationships" ref="G61" r:id="rId51"/>
    <hyperlink xmlns:r="http://schemas.openxmlformats.org/officeDocument/2006/relationships" ref="G64" r:id="rId52"/>
    <hyperlink xmlns:r="http://schemas.openxmlformats.org/officeDocument/2006/relationships" ref="G65" r:id="rId53"/>
    <hyperlink xmlns:r="http://schemas.openxmlformats.org/officeDocument/2006/relationships" ref="G66" r:id="rId54"/>
    <hyperlink xmlns:r="http://schemas.openxmlformats.org/officeDocument/2006/relationships" ref="G67" r:id="rId55"/>
    <hyperlink xmlns:r="http://schemas.openxmlformats.org/officeDocument/2006/relationships" ref="G68" r:id="rId56"/>
    <hyperlink xmlns:r="http://schemas.openxmlformats.org/officeDocument/2006/relationships" ref="G69" r:id="rId57"/>
    <hyperlink xmlns:r="http://schemas.openxmlformats.org/officeDocument/2006/relationships" ref="G70" r:id="rId58"/>
    <hyperlink xmlns:r="http://schemas.openxmlformats.org/officeDocument/2006/relationships" ref="G71" r:id="rId59"/>
    <hyperlink xmlns:r="http://schemas.openxmlformats.org/officeDocument/2006/relationships" ref="G72" r:id="rId60"/>
    <hyperlink xmlns:r="http://schemas.openxmlformats.org/officeDocument/2006/relationships" ref="G73" r:id="rId61"/>
    <hyperlink xmlns:r="http://schemas.openxmlformats.org/officeDocument/2006/relationships" ref="G74" r:id="rId62"/>
    <hyperlink xmlns:r="http://schemas.openxmlformats.org/officeDocument/2006/relationships" ref="G75" r:id="rId63"/>
    <hyperlink xmlns:r="http://schemas.openxmlformats.org/officeDocument/2006/relationships" ref="G77" r:id="rId64"/>
    <hyperlink xmlns:r="http://schemas.openxmlformats.org/officeDocument/2006/relationships" ref="G78" r:id="rId65"/>
    <hyperlink xmlns:r="http://schemas.openxmlformats.org/officeDocument/2006/relationships" ref="G79" r:id="rId66"/>
    <hyperlink xmlns:r="http://schemas.openxmlformats.org/officeDocument/2006/relationships" ref="G80" r:id="rId67"/>
    <hyperlink xmlns:r="http://schemas.openxmlformats.org/officeDocument/2006/relationships" ref="G81" r:id="rId68"/>
    <hyperlink xmlns:r="http://schemas.openxmlformats.org/officeDocument/2006/relationships" ref="G83" r:id="rId69"/>
    <hyperlink xmlns:r="http://schemas.openxmlformats.org/officeDocument/2006/relationships" ref="G84" r:id="rId70"/>
    <hyperlink xmlns:r="http://schemas.openxmlformats.org/officeDocument/2006/relationships" ref="G89" r:id="rId71"/>
    <hyperlink xmlns:r="http://schemas.openxmlformats.org/officeDocument/2006/relationships" ref="G90" r:id="rId72"/>
    <hyperlink xmlns:r="http://schemas.openxmlformats.org/officeDocument/2006/relationships" ref="G91" r:id="rId73"/>
    <hyperlink xmlns:r="http://schemas.openxmlformats.org/officeDocument/2006/relationships" ref="G92" r:id="rId74"/>
    <hyperlink xmlns:r="http://schemas.openxmlformats.org/officeDocument/2006/relationships" ref="G94" r:id="rId75"/>
    <hyperlink xmlns:r="http://schemas.openxmlformats.org/officeDocument/2006/relationships" ref="G95" r:id="rId76"/>
    <hyperlink xmlns:r="http://schemas.openxmlformats.org/officeDocument/2006/relationships" ref="G96" r:id="rId77"/>
    <hyperlink xmlns:r="http://schemas.openxmlformats.org/officeDocument/2006/relationships" ref="G97" r:id="rId78"/>
    <hyperlink xmlns:r="http://schemas.openxmlformats.org/officeDocument/2006/relationships" ref="G98" r:id="rId79"/>
    <hyperlink xmlns:r="http://schemas.openxmlformats.org/officeDocument/2006/relationships" ref="G99" r:id="rId80"/>
    <hyperlink xmlns:r="http://schemas.openxmlformats.org/officeDocument/2006/relationships" ref="G100" r:id="rId81"/>
    <hyperlink xmlns:r="http://schemas.openxmlformats.org/officeDocument/2006/relationships" ref="G101" r:id="rId82"/>
    <hyperlink xmlns:r="http://schemas.openxmlformats.org/officeDocument/2006/relationships" ref="G102" r:id="rId83"/>
    <hyperlink xmlns:r="http://schemas.openxmlformats.org/officeDocument/2006/relationships" ref="G104" r:id="rId84"/>
    <hyperlink xmlns:r="http://schemas.openxmlformats.org/officeDocument/2006/relationships" ref="G105" r:id="rId85"/>
    <hyperlink xmlns:r="http://schemas.openxmlformats.org/officeDocument/2006/relationships" ref="G106" r:id="rId86"/>
    <hyperlink xmlns:r="http://schemas.openxmlformats.org/officeDocument/2006/relationships" ref="G107" r:id="rId87"/>
    <hyperlink xmlns:r="http://schemas.openxmlformats.org/officeDocument/2006/relationships" ref="G109" r:id="rId88"/>
    <hyperlink xmlns:r="http://schemas.openxmlformats.org/officeDocument/2006/relationships" ref="G110" r:id="rId89"/>
    <hyperlink xmlns:r="http://schemas.openxmlformats.org/officeDocument/2006/relationships" ref="G111" r:id="rId90"/>
    <hyperlink xmlns:r="http://schemas.openxmlformats.org/officeDocument/2006/relationships" ref="G113" r:id="rId91"/>
    <hyperlink xmlns:r="http://schemas.openxmlformats.org/officeDocument/2006/relationships" ref="G115" r:id="rId92"/>
    <hyperlink xmlns:r="http://schemas.openxmlformats.org/officeDocument/2006/relationships" ref="G117" r:id="rId93"/>
    <hyperlink xmlns:r="http://schemas.openxmlformats.org/officeDocument/2006/relationships" ref="G118" r:id="rId94"/>
    <hyperlink xmlns:r="http://schemas.openxmlformats.org/officeDocument/2006/relationships" ref="G121" r:id="rId95"/>
    <hyperlink xmlns:r="http://schemas.openxmlformats.org/officeDocument/2006/relationships" ref="G122" r:id="rId96"/>
    <hyperlink xmlns:r="http://schemas.openxmlformats.org/officeDocument/2006/relationships" ref="G123" r:id="rId97"/>
    <hyperlink xmlns:r="http://schemas.openxmlformats.org/officeDocument/2006/relationships" ref="G124" r:id="rId98"/>
    <hyperlink xmlns:r="http://schemas.openxmlformats.org/officeDocument/2006/relationships" ref="G125" r:id="rId99"/>
    <hyperlink xmlns:r="http://schemas.openxmlformats.org/officeDocument/2006/relationships" ref="G126" r:id="rId100"/>
    <hyperlink xmlns:r="http://schemas.openxmlformats.org/officeDocument/2006/relationships" ref="G127" r:id="rId101"/>
    <hyperlink xmlns:r="http://schemas.openxmlformats.org/officeDocument/2006/relationships" ref="G128" r:id="rId102"/>
    <hyperlink xmlns:r="http://schemas.openxmlformats.org/officeDocument/2006/relationships" ref="G129" r:id="rId103"/>
    <hyperlink xmlns:r="http://schemas.openxmlformats.org/officeDocument/2006/relationships" ref="G130" r:id="rId104"/>
    <hyperlink xmlns:r="http://schemas.openxmlformats.org/officeDocument/2006/relationships" ref="G131" r:id="rId105"/>
    <hyperlink xmlns:r="http://schemas.openxmlformats.org/officeDocument/2006/relationships" ref="G132" r:id="rId106"/>
    <hyperlink xmlns:r="http://schemas.openxmlformats.org/officeDocument/2006/relationships" ref="G133" r:id="rId107"/>
    <hyperlink xmlns:r="http://schemas.openxmlformats.org/officeDocument/2006/relationships" ref="G135" r:id="rId108"/>
    <hyperlink xmlns:r="http://schemas.openxmlformats.org/officeDocument/2006/relationships" ref="G137" r:id="rId109"/>
    <hyperlink xmlns:r="http://schemas.openxmlformats.org/officeDocument/2006/relationships" ref="G138" r:id="rId110"/>
    <hyperlink xmlns:r="http://schemas.openxmlformats.org/officeDocument/2006/relationships" ref="G139" r:id="rId111"/>
    <hyperlink xmlns:r="http://schemas.openxmlformats.org/officeDocument/2006/relationships" ref="G140" r:id="rId112"/>
    <hyperlink xmlns:r="http://schemas.openxmlformats.org/officeDocument/2006/relationships" ref="G141" r:id="rId113"/>
    <hyperlink xmlns:r="http://schemas.openxmlformats.org/officeDocument/2006/relationships" ref="G142" r:id="rId114"/>
    <hyperlink xmlns:r="http://schemas.openxmlformats.org/officeDocument/2006/relationships" ref="G143" r:id="rId115"/>
    <hyperlink xmlns:r="http://schemas.openxmlformats.org/officeDocument/2006/relationships" ref="G144" r:id="rId116"/>
    <hyperlink xmlns:r="http://schemas.openxmlformats.org/officeDocument/2006/relationships" ref="G145" r:id="rId117"/>
    <hyperlink xmlns:r="http://schemas.openxmlformats.org/officeDocument/2006/relationships" ref="G146" r:id="rId118"/>
    <hyperlink xmlns:r="http://schemas.openxmlformats.org/officeDocument/2006/relationships" ref="G147" r:id="rId119"/>
    <hyperlink xmlns:r="http://schemas.openxmlformats.org/officeDocument/2006/relationships" ref="G148" r:id="rId120"/>
    <hyperlink xmlns:r="http://schemas.openxmlformats.org/officeDocument/2006/relationships" ref="G149" r:id="rId121"/>
    <hyperlink xmlns:r="http://schemas.openxmlformats.org/officeDocument/2006/relationships" ref="G150" r:id="rId122"/>
    <hyperlink xmlns:r="http://schemas.openxmlformats.org/officeDocument/2006/relationships" ref="G151" r:id="rId123"/>
    <hyperlink xmlns:r="http://schemas.openxmlformats.org/officeDocument/2006/relationships" ref="G152" r:id="rId124"/>
    <hyperlink xmlns:r="http://schemas.openxmlformats.org/officeDocument/2006/relationships" ref="G153" r:id="rId125"/>
    <hyperlink xmlns:r="http://schemas.openxmlformats.org/officeDocument/2006/relationships" ref="G154" r:id="rId126"/>
    <hyperlink xmlns:r="http://schemas.openxmlformats.org/officeDocument/2006/relationships" ref="G155" r:id="rId127"/>
    <hyperlink xmlns:r="http://schemas.openxmlformats.org/officeDocument/2006/relationships" ref="G156" r:id="rId128"/>
    <hyperlink xmlns:r="http://schemas.openxmlformats.org/officeDocument/2006/relationships" ref="G157" r:id="rId129"/>
    <hyperlink xmlns:r="http://schemas.openxmlformats.org/officeDocument/2006/relationships" ref="G158" r:id="rId130"/>
    <hyperlink xmlns:r="http://schemas.openxmlformats.org/officeDocument/2006/relationships" ref="G160" r:id="rId131"/>
    <hyperlink xmlns:r="http://schemas.openxmlformats.org/officeDocument/2006/relationships" ref="G161" r:id="rId132"/>
    <hyperlink xmlns:r="http://schemas.openxmlformats.org/officeDocument/2006/relationships" ref="G163" r:id="rId133"/>
    <hyperlink xmlns:r="http://schemas.openxmlformats.org/officeDocument/2006/relationships" ref="G165" r:id="rId134"/>
    <hyperlink xmlns:r="http://schemas.openxmlformats.org/officeDocument/2006/relationships" ref="G166" r:id="rId135"/>
    <hyperlink xmlns:r="http://schemas.openxmlformats.org/officeDocument/2006/relationships" ref="G167" r:id="rId136"/>
    <hyperlink xmlns:r="http://schemas.openxmlformats.org/officeDocument/2006/relationships" ref="G168" r:id="rId137"/>
    <hyperlink xmlns:r="http://schemas.openxmlformats.org/officeDocument/2006/relationships" ref="G169" r:id="rId138"/>
    <hyperlink xmlns:r="http://schemas.openxmlformats.org/officeDocument/2006/relationships" ref="G170" r:id="rId139"/>
    <hyperlink xmlns:r="http://schemas.openxmlformats.org/officeDocument/2006/relationships" ref="G171" r:id="rId140"/>
    <hyperlink xmlns:r="http://schemas.openxmlformats.org/officeDocument/2006/relationships" ref="G172" r:id="rId141"/>
    <hyperlink xmlns:r="http://schemas.openxmlformats.org/officeDocument/2006/relationships" ref="G174" r:id="rId142"/>
    <hyperlink xmlns:r="http://schemas.openxmlformats.org/officeDocument/2006/relationships" ref="G175" r:id="rId143"/>
    <hyperlink xmlns:r="http://schemas.openxmlformats.org/officeDocument/2006/relationships" ref="G177" r:id="rId144"/>
    <hyperlink xmlns:r="http://schemas.openxmlformats.org/officeDocument/2006/relationships" ref="G178" r:id="rId145"/>
    <hyperlink xmlns:r="http://schemas.openxmlformats.org/officeDocument/2006/relationships" ref="G179" r:id="rId146"/>
    <hyperlink xmlns:r="http://schemas.openxmlformats.org/officeDocument/2006/relationships" ref="G180" r:id="rId147"/>
    <hyperlink xmlns:r="http://schemas.openxmlformats.org/officeDocument/2006/relationships" ref="G181" r:id="rId148"/>
    <hyperlink xmlns:r="http://schemas.openxmlformats.org/officeDocument/2006/relationships" ref="G182" r:id="rId149"/>
    <hyperlink xmlns:r="http://schemas.openxmlformats.org/officeDocument/2006/relationships" ref="G183" r:id="rId150"/>
    <hyperlink xmlns:r="http://schemas.openxmlformats.org/officeDocument/2006/relationships" ref="G184" r:id="rId151"/>
    <hyperlink xmlns:r="http://schemas.openxmlformats.org/officeDocument/2006/relationships" ref="G186" r:id="rId152"/>
    <hyperlink xmlns:r="http://schemas.openxmlformats.org/officeDocument/2006/relationships" ref="G187" r:id="rId153"/>
    <hyperlink xmlns:r="http://schemas.openxmlformats.org/officeDocument/2006/relationships" ref="G188" r:id="rId154"/>
    <hyperlink xmlns:r="http://schemas.openxmlformats.org/officeDocument/2006/relationships" ref="G189" r:id="rId155"/>
    <hyperlink xmlns:r="http://schemas.openxmlformats.org/officeDocument/2006/relationships" ref="G190" r:id="rId156"/>
    <hyperlink xmlns:r="http://schemas.openxmlformats.org/officeDocument/2006/relationships" ref="G191" r:id="rId157"/>
    <hyperlink xmlns:r="http://schemas.openxmlformats.org/officeDocument/2006/relationships" ref="G192" r:id="rId158"/>
    <hyperlink xmlns:r="http://schemas.openxmlformats.org/officeDocument/2006/relationships" ref="G193" r:id="rId159"/>
    <hyperlink xmlns:r="http://schemas.openxmlformats.org/officeDocument/2006/relationships" ref="G194" r:id="rId160"/>
    <hyperlink xmlns:r="http://schemas.openxmlformats.org/officeDocument/2006/relationships" ref="G195" r:id="rId161"/>
    <hyperlink xmlns:r="http://schemas.openxmlformats.org/officeDocument/2006/relationships" ref="G196" r:id="rId162"/>
    <hyperlink xmlns:r="http://schemas.openxmlformats.org/officeDocument/2006/relationships" ref="G197" r:id="rId163"/>
    <hyperlink xmlns:r="http://schemas.openxmlformats.org/officeDocument/2006/relationships" ref="G198" r:id="rId164"/>
    <hyperlink xmlns:r="http://schemas.openxmlformats.org/officeDocument/2006/relationships" ref="G199" r:id="rId165"/>
    <hyperlink xmlns:r="http://schemas.openxmlformats.org/officeDocument/2006/relationships" ref="G200" r:id="rId166"/>
    <hyperlink xmlns:r="http://schemas.openxmlformats.org/officeDocument/2006/relationships" ref="G201" r:id="rId1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Literature database summary (live formulas)</t>
        </is>
      </c>
    </row>
    <row r="2">
      <c r="A2" s="6" t="inlineStr">
        <is>
          <t>All counts recompute from the Literature sheet; filter there to explore.</t>
        </is>
      </c>
    </row>
    <row r="4">
      <c r="A4" s="7" t="inlineStr">
        <is>
          <t>Total entries</t>
        </is>
      </c>
      <c r="B4">
        <f>COUNTA(Literature!A:A)-1</f>
        <v/>
      </c>
    </row>
    <row r="5">
      <c r="A5" s="7" t="inlineStr">
        <is>
          <t>Core (detailed) entries</t>
        </is>
      </c>
      <c r="B5">
        <f>COUNTIF(Literature!I:I,"Yes")</f>
        <v/>
      </c>
    </row>
    <row r="6">
      <c r="A6" s="7" t="inlineStr">
        <is>
          <t>Entries with DOI link</t>
        </is>
      </c>
      <c r="B6">
        <f>COUNTIF(Literature!G:G,"https://doi.org/*")</f>
        <v/>
      </c>
    </row>
    <row r="7">
      <c r="A7" s="7" t="inlineStr">
        <is>
          <t>DOIs confirmed/matched via Crossref</t>
        </is>
      </c>
      <c r="B7">
        <f>COUNTIF(Literature!AF:AF,"*Crossref match*")+COUNTIF(Literature!AF:AF,"*Crossref-confirmed*")</f>
        <v/>
      </c>
    </row>
    <row r="8">
      <c r="A8" s="7" t="inlineStr">
        <is>
          <t>Published 2019 or later</t>
        </is>
      </c>
      <c r="B8">
        <f>COUNTIF(Literature!D:D,"&gt;=2019")</f>
        <v/>
      </c>
    </row>
    <row r="9">
      <c r="A9" s="7" t="inlineStr">
        <is>
          <t>Relevance 5 entries</t>
        </is>
      </c>
      <c r="B9">
        <f>COUNTIF(Literature!AD:AD,5)</f>
        <v/>
      </c>
    </row>
    <row r="12">
      <c r="A12" s="8" t="inlineStr">
        <is>
          <t>Strand</t>
        </is>
      </c>
      <c r="B12" s="8" t="inlineStr">
        <is>
          <t>Entries</t>
        </is>
      </c>
      <c r="C12" s="8" t="inlineStr">
        <is>
          <t>Core entries</t>
        </is>
      </c>
      <c r="D12" s="8" t="inlineStr">
        <is>
          <t>Avg relevance</t>
        </is>
      </c>
    </row>
    <row r="13">
      <c r="A13" t="inlineStr">
        <is>
          <t>Data &amp; measurement</t>
        </is>
      </c>
      <c r="B13">
        <f>COUNTIF(Literature!$H:$H,$A13)</f>
        <v/>
      </c>
      <c r="C13">
        <f>COUNTIFS(Literature!$H:$H,$A13,Literature!$I:$I,"Yes")</f>
        <v/>
      </c>
      <c r="D13">
        <f>IFERROR(ROUND(AVERAGEIF(Literature!$H:$H,$A13,Literature!$AD:$AD),2),"")</f>
        <v/>
      </c>
    </row>
    <row r="14">
      <c r="A14" t="inlineStr">
        <is>
          <t>End-to-end / decision-focused</t>
        </is>
      </c>
      <c r="B14">
        <f>COUNTIF(Literature!$H:$H,$A14)</f>
        <v/>
      </c>
      <c r="C14">
        <f>COUNTIFS(Literature!$H:$H,$A14,Literature!$I:$I,"Yes")</f>
        <v/>
      </c>
      <c r="D14">
        <f>IFERROR(ROUND(AVERAGEIF(Literature!$H:$H,$A14,Literature!$AD:$AD),2),"")</f>
        <v/>
      </c>
    </row>
    <row r="15">
      <c r="A15" t="inlineStr">
        <is>
          <t>Factor timing &amp; regimes</t>
        </is>
      </c>
      <c r="B15">
        <f>COUNTIF(Literature!$H:$H,$A15)</f>
        <v/>
      </c>
      <c r="C15">
        <f>COUNTIFS(Literature!$H:$H,$A15,Literature!$I:$I,"Yes")</f>
        <v/>
      </c>
      <c r="D15">
        <f>IFERROR(ROUND(AVERAGEIF(Literature!$H:$H,$A15,Literature!$AD:$AD),2),"")</f>
        <v/>
      </c>
    </row>
    <row r="16">
      <c r="A16" t="inlineStr">
        <is>
          <t>Industry</t>
        </is>
      </c>
      <c r="B16">
        <f>COUNTIF(Literature!$H:$H,$A16)</f>
        <v/>
      </c>
      <c r="C16">
        <f>COUNTIFS(Literature!$H:$H,$A16,Literature!$I:$I,"Yes")</f>
        <v/>
      </c>
      <c r="D16">
        <f>IFERROR(ROUND(AVERAGEIF(Literature!$H:$H,$A16,Literature!$AD:$AD),2),"")</f>
        <v/>
      </c>
    </row>
    <row r="17">
      <c r="A17" t="inlineStr">
        <is>
          <t>ML asset pricing</t>
        </is>
      </c>
      <c r="B17">
        <f>COUNTIF(Literature!$H:$H,$A17)</f>
        <v/>
      </c>
      <c r="C17">
        <f>COUNTIFS(Literature!$H:$H,$A17,Literature!$I:$I,"Yes")</f>
        <v/>
      </c>
      <c r="D17">
        <f>IFERROR(ROUND(AVERAGEIF(Literature!$H:$H,$A17,Literature!$AD:$AD),2),"")</f>
        <v/>
      </c>
    </row>
    <row r="18">
      <c r="A18" t="inlineStr">
        <is>
          <t>ML methods</t>
        </is>
      </c>
      <c r="B18">
        <f>COUNTIF(Literature!$H:$H,$A18)</f>
        <v/>
      </c>
      <c r="C18">
        <f>COUNTIFS(Literature!$H:$H,$A18,Literature!$I:$I,"Yes")</f>
        <v/>
      </c>
      <c r="D18">
        <f>IFERROR(ROUND(AVERAGEIF(Literature!$H:$H,$A18,Literature!$AD:$AD),2),"")</f>
        <v/>
      </c>
    </row>
    <row r="19">
      <c r="A19" t="inlineStr">
        <is>
          <t>ML strategies &amp; implementability</t>
        </is>
      </c>
      <c r="B19">
        <f>COUNTIF(Literature!$H:$H,$A19)</f>
        <v/>
      </c>
      <c r="C19">
        <f>COUNTIFS(Literature!$H:$H,$A19,Literature!$I:$I,"Yes")</f>
        <v/>
      </c>
      <c r="D19">
        <f>IFERROR(ROUND(AVERAGEIF(Literature!$H:$H,$A19,Literature!$AD:$AD),2),"")</f>
        <v/>
      </c>
    </row>
    <row r="20">
      <c r="A20" t="inlineStr">
        <is>
          <t>Portfolio construction</t>
        </is>
      </c>
      <c r="B20">
        <f>COUNTIF(Literature!$H:$H,$A20)</f>
        <v/>
      </c>
      <c r="C20">
        <f>COUNTIFS(Literature!$H:$H,$A20,Literature!$I:$I,"Yes")</f>
        <v/>
      </c>
      <c r="D20">
        <f>IFERROR(ROUND(AVERAGEIF(Literature!$H:$H,$A20,Literature!$AD:$AD),2),"")</f>
        <v/>
      </c>
    </row>
    <row r="21">
      <c r="A21" t="inlineStr">
        <is>
          <t>Replication &amp; multiple testing</t>
        </is>
      </c>
      <c r="B21">
        <f>COUNTIF(Literature!$H:$H,$A21)</f>
        <v/>
      </c>
      <c r="C21">
        <f>COUNTIFS(Literature!$H:$H,$A21,Literature!$I:$I,"Yes")</f>
        <v/>
      </c>
      <c r="D21">
        <f>IFERROR(ROUND(AVERAGEIF(Literature!$H:$H,$A21,Literature!$AD:$AD),2),"")</f>
        <v/>
      </c>
    </row>
    <row r="22">
      <c r="A22" t="inlineStr">
        <is>
          <t>Statistical inference</t>
        </is>
      </c>
      <c r="B22">
        <f>COUNTIF(Literature!$H:$H,$A22)</f>
        <v/>
      </c>
      <c r="C22">
        <f>COUNTIFS(Literature!$H:$H,$A22,Literature!$I:$I,"Yes")</f>
        <v/>
      </c>
      <c r="D22">
        <f>IFERROR(ROUND(AVERAGEIF(Literature!$H:$H,$A22,Literature!$AD:$AD),2),"")</f>
        <v/>
      </c>
    </row>
    <row r="23">
      <c r="A23" t="inlineStr">
        <is>
          <t>TC &amp; implementability</t>
        </is>
      </c>
      <c r="B23">
        <f>COUNTIF(Literature!$H:$H,$A23)</f>
        <v/>
      </c>
      <c r="C23">
        <f>COUNTIFS(Literature!$H:$H,$A23,Literature!$I:$I,"Yes")</f>
        <v/>
      </c>
      <c r="D23">
        <f>IFERROR(ROUND(AVERAGEIF(Literature!$H:$H,$A23,Literature!$AD:$AD),2),"")</f>
        <v/>
      </c>
    </row>
    <row r="26">
      <c r="A26" s="8" t="inlineStr">
        <is>
          <t>Journal tier</t>
        </is>
      </c>
      <c r="B26" s="8" t="inlineStr">
        <is>
          <t>Entries</t>
        </is>
      </c>
    </row>
    <row r="27">
      <c r="A27" t="inlineStr">
        <is>
          <t>Book</t>
        </is>
      </c>
      <c r="B27">
        <f>COUNTIF(Literature!$F:$F,$A27)</f>
        <v/>
      </c>
    </row>
    <row r="28">
      <c r="A28" t="inlineStr">
        <is>
          <t>Econometrics general</t>
        </is>
      </c>
      <c r="B28">
        <f>COUNTIF(Literature!$F:$F,$A28)</f>
        <v/>
      </c>
    </row>
    <row r="29">
      <c r="A29" t="inlineStr">
        <is>
          <t>Industry</t>
        </is>
      </c>
      <c r="B29">
        <f>COUNTIF(Literature!$F:$F,$A29)</f>
        <v/>
      </c>
    </row>
    <row r="30">
      <c r="A30" t="inlineStr">
        <is>
          <t>ML venue</t>
        </is>
      </c>
      <c r="B30">
        <f>COUNTIF(Literature!$F:$F,$A30)</f>
        <v/>
      </c>
    </row>
    <row r="31">
      <c r="A31" t="inlineStr">
        <is>
          <t>Survey</t>
        </is>
      </c>
      <c r="B31">
        <f>COUNTIF(Literature!$F:$F,$A31)</f>
        <v/>
      </c>
    </row>
    <row r="32">
      <c r="A32" t="inlineStr">
        <is>
          <t>T1 General Finance</t>
        </is>
      </c>
      <c r="B32">
        <f>COUNTIF(Literature!$F:$F,$A32)</f>
        <v/>
      </c>
    </row>
    <row r="33">
      <c r="A33" t="inlineStr">
        <is>
          <t>T1b Finance/OR</t>
        </is>
      </c>
      <c r="B33">
        <f>COUNTIF(Literature!$F:$F,$A33)</f>
        <v/>
      </c>
    </row>
    <row r="34">
      <c r="A34" t="inlineStr">
        <is>
          <t>T2 Quant/Field</t>
        </is>
      </c>
      <c r="B34">
        <f>COUNTIF(Literature!$F:$F,$A34)</f>
        <v/>
      </c>
    </row>
    <row r="35">
      <c r="A35" t="inlineStr">
        <is>
          <t>T3 Practitioner</t>
        </is>
      </c>
      <c r="B35">
        <f>COUNTIF(Literature!$F:$F,$A35)</f>
        <v/>
      </c>
    </row>
    <row r="36">
      <c r="A36" t="inlineStr">
        <is>
          <t>WP</t>
        </is>
      </c>
      <c r="B36">
        <f>COUNTIF(Literature!$F:$F,$A36)</f>
        <v/>
      </c>
    </row>
    <row r="39">
      <c r="A39" s="8" t="inlineStr">
        <is>
          <t>Period</t>
        </is>
      </c>
      <c r="B39" s="8" t="inlineStr">
        <is>
          <t>From</t>
        </is>
      </c>
      <c r="C39" s="8" t="inlineStr">
        <is>
          <t>To</t>
        </is>
      </c>
      <c r="D39" s="8" t="inlineStr">
        <is>
          <t>Entries</t>
        </is>
      </c>
    </row>
    <row r="40">
      <c r="A40" t="inlineStr">
        <is>
          <t>&lt;2000</t>
        </is>
      </c>
      <c r="B40" t="n">
        <v>1900</v>
      </c>
      <c r="C40" t="n">
        <v>1999</v>
      </c>
      <c r="D40">
        <f>COUNTIFS(Literature!$D:$D,"&gt;="&amp;B40,Literature!$D:$D,"&lt;="&amp;C40)</f>
        <v/>
      </c>
    </row>
    <row r="41">
      <c r="A41" t="inlineStr">
        <is>
          <t>2000-2009</t>
        </is>
      </c>
      <c r="B41" t="n">
        <v>2000</v>
      </c>
      <c r="C41" t="n">
        <v>2009</v>
      </c>
      <c r="D41">
        <f>COUNTIFS(Literature!$D:$D,"&gt;="&amp;B41,Literature!$D:$D,"&lt;="&amp;C41)</f>
        <v/>
      </c>
    </row>
    <row r="42">
      <c r="A42" t="inlineStr">
        <is>
          <t>2010-2014</t>
        </is>
      </c>
      <c r="B42" t="n">
        <v>2010</v>
      </c>
      <c r="C42" t="n">
        <v>2014</v>
      </c>
      <c r="D42">
        <f>COUNTIFS(Literature!$D:$D,"&gt;="&amp;B42,Literature!$D:$D,"&lt;="&amp;C42)</f>
        <v/>
      </c>
    </row>
    <row r="43">
      <c r="A43" t="inlineStr">
        <is>
          <t>2015-2019</t>
        </is>
      </c>
      <c r="B43" t="n">
        <v>2015</v>
      </c>
      <c r="C43" t="n">
        <v>2019</v>
      </c>
      <c r="D43">
        <f>COUNTIFS(Literature!$D:$D,"&gt;="&amp;B43,Literature!$D:$D,"&lt;="&amp;C43)</f>
        <v/>
      </c>
    </row>
    <row r="44">
      <c r="A44" t="inlineStr">
        <is>
          <t>2020-2022</t>
        </is>
      </c>
      <c r="B44" t="n">
        <v>2020</v>
      </c>
      <c r="C44" t="n">
        <v>2022</v>
      </c>
      <c r="D44">
        <f>COUNTIFS(Literature!$D:$D,"&gt;="&amp;B44,Literature!$D:$D,"&lt;="&amp;C44)</f>
        <v/>
      </c>
    </row>
    <row r="45">
      <c r="A45" t="inlineStr">
        <is>
          <t>2023-2026</t>
        </is>
      </c>
      <c r="B45" t="n">
        <v>2023</v>
      </c>
      <c r="C45" t="n">
        <v>2026</v>
      </c>
      <c r="D45">
        <f>COUNTIFS(Literature!$D:$D,"&gt;="&amp;B45,Literature!$D:$D,"&lt;="&amp;C45)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42" customWidth="1" min="4" max="4"/>
    <col width="36" customWidth="1" min="5" max="5"/>
    <col width="42" customWidth="1" min="6" max="6"/>
    <col width="12" customWidth="1" min="7" max="7"/>
    <col width="12" customWidth="1" min="8" max="8"/>
  </cols>
  <sheetData>
    <row r="1" ht="34" customHeight="1">
      <c r="A1" s="1" t="inlineStr">
        <is>
          <t>#</t>
        </is>
      </c>
      <c r="B1" s="1" t="inlineStr">
        <is>
          <t>Paper</t>
        </is>
      </c>
      <c r="C1" s="1" t="inlineStr">
        <is>
          <t>Status</t>
        </is>
      </c>
      <c r="D1" s="1" t="inlineStr">
        <is>
          <t>What it does</t>
        </is>
      </c>
      <c r="E1" s="1" t="inlineStr">
        <is>
          <t>Overlap with our claim</t>
        </is>
      </c>
      <c r="F1" s="1" t="inlineStr">
        <is>
          <t>Differentiation</t>
        </is>
      </c>
      <c r="G1" s="1" t="inlineStr">
        <is>
          <t>Threat level</t>
        </is>
      </c>
      <c r="H1" s="1" t="inlineStr">
        <is>
          <t>Last checked</t>
        </is>
      </c>
    </row>
    <row r="2">
      <c r="A2" s="2" t="inlineStr">
        <is>
          <t>1</t>
        </is>
      </c>
      <c r="B2" s="2" t="inlineStr">
        <is>
          <t>JKMP2026</t>
        </is>
      </c>
      <c r="C2" s="2" t="inlineStr">
        <is>
          <t>RFS 2026</t>
        </is>
      </c>
      <c r="D2" s="2" t="inlineStr">
        <is>
          <t>ML + trading-cost-aware learning of weights; implementable frontier; economic feature importance</t>
        </is>
      </c>
      <c r="E2" s="2" t="inlineStr">
        <is>
          <t>Objective dimension (iii); static nonlinear economic-loss learner</t>
        </is>
      </c>
      <c r="F2" s="2" t="inlineStr">
        <is>
          <t>We nest it as a cell; add conditioning, uncertainty, interactions, mechanism tests</t>
        </is>
      </c>
      <c r="G2" s="2" t="inlineStr">
        <is>
          <t>High</t>
        </is>
      </c>
      <c r="H2" s="2" t="inlineStr">
        <is>
          <t>Sep 2026</t>
        </is>
      </c>
    </row>
    <row r="3">
      <c r="A3" s="2" t="inlineStr">
        <is>
          <t>2</t>
        </is>
      </c>
      <c r="B3" s="2" t="inlineStr">
        <is>
          <t>SWZ2023</t>
        </is>
      </c>
      <c r="C3" s="2" t="inlineStr">
        <is>
          <t>MS 2026 (Crossref)</t>
        </is>
      </c>
      <c r="D3" s="2" t="inlineStr">
        <is>
          <t>Deep parametric portfolio policies; robust to costs</t>
        </is>
      </c>
      <c r="E3" s="2" t="inlineStr">
        <is>
          <t>Nonlinear economic-objective cell</t>
        </is>
      </c>
      <c r="F3" s="2" t="inlineStr">
        <is>
          <t>Factorial attribution; state dependence; formal snooping control</t>
        </is>
      </c>
      <c r="G3" s="2" t="inlineStr">
        <is>
          <t>High</t>
        </is>
      </c>
      <c r="H3" s="2" t="inlineStr">
        <is>
          <t>Sep 2026</t>
        </is>
      </c>
    </row>
    <row r="4">
      <c r="A4" s="2" t="inlineStr">
        <is>
          <t>3</t>
        </is>
      </c>
      <c r="B4" s="2" t="inlineStr">
        <is>
          <t>DMNU2020</t>
        </is>
      </c>
      <c r="C4" s="2" t="inlineStr">
        <is>
          <t>RFS 2020</t>
        </is>
      </c>
      <c r="D4" s="2" t="inlineStr">
        <is>
          <t>Linear PPP with TC; netting</t>
        </is>
      </c>
      <c r="E4" s="2" t="inlineStr">
        <is>
          <t>Linear economic-loss cell</t>
        </is>
      </c>
      <c r="F4" s="2" t="inlineStr">
        <is>
          <t>Nonlinear and conditional cells; netting attribution</t>
        </is>
      </c>
      <c r="G4" s="2" t="inlineStr">
        <is>
          <t>Medium</t>
        </is>
      </c>
      <c r="H4" s="2" t="inlineStr">
        <is>
          <t>Sep 2026</t>
        </is>
      </c>
    </row>
    <row r="5">
      <c r="A5" s="2" t="inlineStr">
        <is>
          <t>4</t>
        </is>
      </c>
      <c r="B5" s="2" t="inlineStr">
        <is>
          <t>DMU2024</t>
        </is>
      </c>
      <c r="C5" s="2" t="inlineStr">
        <is>
          <t>JF 2024</t>
        </is>
      </c>
      <c r="D5" s="2" t="inlineStr">
        <is>
          <t>Conditional multifactor (volatility) net of costs</t>
        </is>
      </c>
      <c r="E5" s="2" t="inlineStr">
        <is>
          <t>Conditioning x costs in low dimension</t>
        </is>
      </c>
      <c r="F5" s="2" t="inlineStr">
        <is>
          <t>Stock-level high-dimensional conditioning; many states; mechanism tests</t>
        </is>
      </c>
      <c r="G5" s="2" t="inlineStr">
        <is>
          <t>High (for G2)</t>
        </is>
      </c>
      <c r="H5" s="2" t="inlineStr">
        <is>
          <t>Sep 2026</t>
        </is>
      </c>
    </row>
    <row r="6">
      <c r="A6" s="2" t="inlineStr">
        <is>
          <t>5</t>
        </is>
      </c>
      <c r="B6" s="2" t="inlineStr">
        <is>
          <t>ACM2023</t>
        </is>
      </c>
      <c r="C6" s="2" t="inlineStr">
        <is>
          <t>MS 2023</t>
        </is>
      </c>
      <c r="D6" s="2" t="inlineStr">
        <is>
          <t>ML under economic restrictions</t>
        </is>
      </c>
      <c r="E6" s="2" t="inlineStr">
        <is>
          <t>Motivation</t>
        </is>
      </c>
      <c r="F6" s="2" t="inlineStr">
        <is>
          <t>We propose/attribute, not only diagnose</t>
        </is>
      </c>
      <c r="G6" s="2" t="inlineStr">
        <is>
          <t>Low</t>
        </is>
      </c>
      <c r="H6" s="2" t="inlineStr">
        <is>
          <t>Sep 2026</t>
        </is>
      </c>
    </row>
    <row r="7">
      <c r="A7" s="2" t="inlineStr">
        <is>
          <t>6</t>
        </is>
      </c>
      <c r="B7" s="2" t="inlineStr">
        <is>
          <t>CHK2024</t>
        </is>
      </c>
      <c r="C7" s="2" t="inlineStr">
        <is>
          <t>SSRN WP</t>
        </is>
      </c>
      <c r="D7" s="2" t="inlineStr">
        <is>
          <t>1,056 ML designs; non-standard errors</t>
        </is>
      </c>
      <c r="E7" s="2" t="inlineStr">
        <is>
          <t>Design-grid methodology</t>
        </is>
      </c>
      <c r="F7" s="2" t="inlineStr">
        <is>
          <t>Our factors are economic ingredients evaluated net of costs with a common optimiser</t>
        </is>
      </c>
      <c r="G7" s="2" t="inlineStr">
        <is>
          <t>Medium</t>
        </is>
      </c>
      <c r="H7" s="2" t="inlineStr">
        <is>
          <t>Sep 2026</t>
        </is>
      </c>
    </row>
    <row r="8">
      <c r="A8" s="2" t="inlineStr">
        <is>
          <t>7</t>
        </is>
      </c>
      <c r="B8" s="2" t="inlineStr">
        <is>
          <t>LAL2025</t>
        </is>
      </c>
      <c r="C8" s="2" t="inlineStr">
        <is>
          <t>EFM 2025</t>
        </is>
      </c>
      <c r="D8" s="2" t="inlineStr">
        <is>
          <t>5,376 portfolios; design choices incl. portfolio construction</t>
        </is>
      </c>
      <c r="E8" s="2" t="inlineStr">
        <is>
          <t>Design-grid methodology</t>
        </is>
      </c>
      <c r="F8" s="2" t="inlineStr">
        <is>
          <t>Same as above</t>
        </is>
      </c>
      <c r="G8" s="2" t="inlineStr">
        <is>
          <t>Medium</t>
        </is>
      </c>
      <c r="H8" s="2" t="inlineStr">
        <is>
          <t>Sep 2026</t>
        </is>
      </c>
    </row>
    <row r="9">
      <c r="A9" s="2" t="inlineStr">
        <is>
          <t>8</t>
        </is>
      </c>
      <c r="B9" s="2" t="inlineStr">
        <is>
          <t>NRRZ2024</t>
        </is>
      </c>
      <c r="C9" s="2" t="inlineStr">
        <is>
          <t>SSRN WP</t>
        </is>
      </c>
      <c r="D9" s="2" t="inlineStr">
        <is>
          <t>Factor-zoo timing</t>
        </is>
      </c>
      <c r="E9" s="2" t="inlineStr">
        <is>
          <t>State-variable predictability</t>
        </is>
      </c>
      <c r="F9" s="2" t="inlineStr">
        <is>
          <t>Stock-level implementation with costs</t>
        </is>
      </c>
      <c r="G9" s="2" t="inlineStr">
        <is>
          <t>Medium</t>
        </is>
      </c>
      <c r="H9" s="2" t="inlineStr">
        <is>
          <t>Sep 2026</t>
        </is>
      </c>
    </row>
    <row r="10">
      <c r="A10" s="2" t="inlineStr">
        <is>
          <t>9</t>
        </is>
      </c>
      <c r="B10" s="2" t="inlineStr">
        <is>
          <t>LMNS2025</t>
        </is>
      </c>
      <c r="C10" s="2" t="inlineStr">
        <is>
          <t>arXiv WP</t>
        </is>
      </c>
      <c r="D10" s="2" t="inlineStr">
        <is>
          <t>NN forecast uncertainty; uncertainty-averse portfolios</t>
        </is>
      </c>
      <c r="E10" s="2" t="inlineStr">
        <is>
          <t>Uncertainty dimension (iv)</t>
        </is>
      </c>
      <c r="F10" s="2" t="inlineStr">
        <is>
          <t>Interaction with costs and conditioning</t>
        </is>
      </c>
      <c r="G10" s="2" t="inlineStr">
        <is>
          <t>Medium-High (for iv)</t>
        </is>
      </c>
      <c r="H10" s="2" t="inlineStr">
        <is>
          <t>Sep 2026</t>
        </is>
      </c>
    </row>
    <row r="11">
      <c r="A11" s="2" t="inlineStr">
        <is>
          <t>10</t>
        </is>
      </c>
      <c r="B11" s="2" t="inlineStr">
        <is>
          <t>AHV2023</t>
        </is>
      </c>
      <c r="C11" s="2" t="inlineStr">
        <is>
          <t>SSRN WP</t>
        </is>
      </c>
      <c r="D11" s="2" t="inlineStr">
        <is>
          <t>ML strategies net of costs and decay</t>
        </is>
      </c>
      <c r="E11" s="2" t="inlineStr">
        <is>
          <t>Net-of-cost evaluation</t>
        </is>
      </c>
      <c r="F11" s="2" t="inlineStr">
        <is>
          <t>Cost-aware learning, attribution</t>
        </is>
      </c>
      <c r="G11" s="2" t="inlineStr">
        <is>
          <t>Medium</t>
        </is>
      </c>
      <c r="H11" s="2" t="inlineStr">
        <is>
          <t>Sep 2026</t>
        </is>
      </c>
    </row>
    <row r="12">
      <c r="A12" s="2" t="inlineStr">
        <is>
          <t>11</t>
        </is>
      </c>
      <c r="B12" s="2" t="inlineStr">
        <is>
          <t>BHHH2023</t>
        </is>
      </c>
      <c r="C12" s="2" t="inlineStr">
        <is>
          <t>JFDS 2023</t>
        </is>
      </c>
      <c r="D12" s="2" t="inlineStr">
        <is>
          <t>Horizon choice and ML alpha net</t>
        </is>
      </c>
      <c r="E12" s="2" t="inlineStr">
        <is>
          <t>Horizon/turnover lever</t>
        </is>
      </c>
      <c r="F12" s="2" t="inlineStr">
        <is>
          <t>Horizon is a robustness factor</t>
        </is>
      </c>
      <c r="G12" s="2" t="inlineStr">
        <is>
          <t>Low-Medium</t>
        </is>
      </c>
      <c r="H12" s="2" t="inlineStr">
        <is>
          <t>Sep 2026</t>
        </is>
      </c>
    </row>
    <row r="13">
      <c r="A13" s="2" t="inlineStr">
        <is>
          <t>12</t>
        </is>
      </c>
      <c r="B13" s="2" t="inlineStr">
        <is>
          <t>CTWZ2021</t>
        </is>
      </c>
      <c r="C13" s="2" t="inlineStr">
        <is>
          <t>NBER WP</t>
        </is>
      </c>
      <c r="D13" s="2" t="inlineStr">
        <is>
          <t>RL direct construction; transformer</t>
        </is>
      </c>
      <c r="E13" s="2" t="inlineStr">
        <is>
          <t>Direct-objective learning</t>
        </is>
      </c>
      <c r="F13" s="2" t="inlineStr">
        <is>
          <t>Controlled attribution; costs</t>
        </is>
      </c>
      <c r="G13" s="2" t="inlineStr">
        <is>
          <t>Low-Medium</t>
        </is>
      </c>
      <c r="H13" s="2" t="inlineStr">
        <is>
          <t>Sep 2026</t>
        </is>
      </c>
    </row>
    <row r="14">
      <c r="A14" s="2" t="inlineStr">
        <is>
          <t>13</t>
        </is>
      </c>
      <c r="B14" s="2" t="inlineStr">
        <is>
          <t>CDS2020</t>
        </is>
      </c>
      <c r="C14" s="2" t="inlineStr">
        <is>
          <t>JFE 2020</t>
        </is>
      </c>
      <c r="D14" s="2" t="inlineStr">
        <is>
          <t>Liquidity-regime theory with costs</t>
        </is>
      </c>
      <c r="E14" s="2" t="inlineStr">
        <is>
          <t>Economic prediction we test</t>
        </is>
      </c>
      <c r="F14" s="2" t="inlineStr">
        <is>
          <t>We test it empirically</t>
        </is>
      </c>
      <c r="G14" s="2" t="inlineStr">
        <is>
          <t>Low (supportive)</t>
        </is>
      </c>
      <c r="H14" s="2" t="inlineStr">
        <is>
          <t>Sep 2026</t>
        </is>
      </c>
    </row>
    <row r="15">
      <c r="A15" s="2" t="inlineStr">
        <is>
          <t>14</t>
        </is>
      </c>
      <c r="B15" s="2" t="inlineStr">
        <is>
          <t>CHSWZ2025</t>
        </is>
      </c>
      <c r="C15" s="2" t="inlineStr">
        <is>
          <t>arXiv WP</t>
        </is>
      </c>
      <c r="D15" s="2" t="inlineStr">
        <is>
          <t>Non-stationarity vs complexity</t>
        </is>
      </c>
      <c r="E15" s="2" t="inlineStr">
        <is>
          <t>Window/complexity choice</t>
        </is>
      </c>
      <c r="F15" s="2" t="inlineStr">
        <is>
          <t>Robustness dimension</t>
        </is>
      </c>
      <c r="G15" s="2" t="inlineStr">
        <is>
          <t>Low</t>
        </is>
      </c>
      <c r="H15" s="2" t="inlineStr">
        <is>
          <t>Sep 2026</t>
        </is>
      </c>
    </row>
    <row r="16">
      <c r="A16" s="2" t="inlineStr">
        <is>
          <t>15</t>
        </is>
      </c>
      <c r="B16" s="2" t="inlineStr">
        <is>
          <t>BLACKROCK2025</t>
        </is>
      </c>
      <c r="C16" s="2" t="inlineStr">
        <is>
          <t>Industry</t>
        </is>
      </c>
      <c r="D16" s="2" t="inlineStr">
        <is>
          <t>AIM pipeline</t>
        </is>
      </c>
      <c r="E16" s="2" t="inlineStr">
        <is>
          <t>Framing</t>
        </is>
      </c>
      <c r="F16" s="2" t="inlineStr">
        <is>
          <t>Public data + inference</t>
        </is>
      </c>
      <c r="G16" s="2" t="inlineStr">
        <is>
          <t>Low</t>
        </is>
      </c>
      <c r="H16" s="2" t="inlineStr">
        <is>
          <t>Sep 2026</t>
        </is>
      </c>
    </row>
    <row r="17">
      <c r="A17" s="2" t="inlineStr">
        <is>
          <t>16</t>
        </is>
      </c>
      <c r="B17" s="2" t="inlineStr">
        <is>
          <t>FRLUX2025</t>
        </is>
      </c>
      <c r="C17" s="2" t="inlineStr">
        <is>
          <t>arXiv WP (Oct 2025)</t>
        </is>
      </c>
      <c r="D17" s="2" t="inlineStr">
        <is>
          <t>Friction-aware, regime-conditioned policy optimisation: costs inside the reward, inaction bands, 4 volatility-liquidity regimes, evaluated on a regime x cost grid with bootstrap CIs and multiple-testing corrections</t>
        </is>
      </c>
      <c r="E17" s="2" t="inlineStr">
        <is>
          <t>Direct overlap with gap G2 (conditioning x cost interaction) and with our robustness grid</t>
        </is>
      </c>
      <c r="F17" s="2" t="inlineStr">
        <is>
          <t>It proposes one RL method; we identify which of four ingredients creates net value in a ~150-signal stock cross-section, with a nested factorial design. Its regime grid becomes a robustness parameterisation we cite and reuse</t>
        </is>
      </c>
      <c r="G17" s="2" t="inlineStr">
        <is>
          <t>High</t>
        </is>
      </c>
      <c r="H17" s="2" t="inlineStr">
        <is>
          <t>Sep 2026</t>
        </is>
      </c>
    </row>
    <row r="18">
      <c r="A18" s="2" t="inlineStr">
        <is>
          <t>17</t>
        </is>
      </c>
      <c r="B18" s="2" t="inlineStr">
        <is>
          <t>VSC2026</t>
        </is>
      </c>
      <c r="C18" s="2" t="inlineStr">
        <is>
          <t>arXiv WP (Apr 2026)</t>
        </is>
      </c>
      <c r="D18" s="2" t="inlineStr">
        <is>
          <t>Sparse (basis pursuit) versus dense ridgeless selection in high-complexity feature spaces; complexity pays through sparse discovery</t>
        </is>
      </c>
      <c r="E18" s="2" t="inlineStr">
        <is>
          <t>Our new complexity ladder (levels A2/A3)</t>
        </is>
      </c>
      <c r="F18" s="2" t="inlineStr">
        <is>
          <t>We test the claim inside a net-of-cost, implementable setting rather than gross SDF Sharpe</t>
        </is>
      </c>
      <c r="G18" s="2" t="inlineStr">
        <is>
          <t>Medium</t>
        </is>
      </c>
      <c r="H18" s="2" t="inlineStr">
        <is>
          <t>Sep 2026</t>
        </is>
      </c>
    </row>
    <row r="19">
      <c r="A19" s="2" t="inlineStr">
        <is>
          <t>18</t>
        </is>
      </c>
      <c r="B19" s="2" t="inlineStr">
        <is>
          <t>AIPT2025</t>
        </is>
      </c>
      <c r="C19" s="2" t="inlineStr">
        <is>
          <t>WP (Oct 2025) [verify authors/venue]</t>
        </is>
      </c>
      <c r="D19" s="2" t="inlineStr">
        <is>
          <t>Complexity helps only when the factor eigenvalue spectrum is diffuse</t>
        </is>
      </c>
      <c r="E19" s="2" t="inlineStr">
        <is>
          <t>Our spectrum diagnostic</t>
        </is>
      </c>
      <c r="F19" s="2" t="inlineStr">
        <is>
          <t>We use it as a mechanism test for when the complexity rung should pay</t>
        </is>
      </c>
      <c r="G19" s="2" t="inlineStr">
        <is>
          <t>Low-Medium</t>
        </is>
      </c>
      <c r="H19" s="2" t="inlineStr">
        <is>
          <t>Sep 2026</t>
        </is>
      </c>
    </row>
    <row r="20">
      <c r="A20" s="2" t="inlineStr">
        <is>
          <t>19</t>
        </is>
      </c>
      <c r="B20" s="2" t="inlineStr">
        <is>
          <t>SPUR2026</t>
        </is>
      </c>
      <c r="C20" s="2" t="inlineStr">
        <is>
          <t>arXiv WP (2026) [verify authors]</t>
        </is>
      </c>
      <c r="D20" s="2" t="inlineStr">
        <is>
          <t>Adaptive specification search yields significant backtests under a no-predictability null; proposes a falsification audit and multiplicity-adjusted inflation gap</t>
        </is>
      </c>
      <c r="E20" s="2" t="inlineStr">
        <is>
          <t>Our credibility layer</t>
        </is>
      </c>
      <c r="F20" s="2" t="inlineStr">
        <is>
          <t>We adopt it as a standard rather than compete with it; it raises the bar every rival submission must now clear</t>
        </is>
      </c>
      <c r="G20" s="2" t="inlineStr">
        <is>
          <t>Low (supportive)</t>
        </is>
      </c>
      <c r="H20" s="2" t="inlineStr">
        <is>
          <t>Sep 2026</t>
        </is>
      </c>
    </row>
    <row r="21">
      <c r="A21" s="2" t="inlineStr">
        <is>
          <t>20</t>
        </is>
      </c>
      <c r="B21" s="2" t="inlineStr">
        <is>
          <t>LLG2025</t>
        </is>
      </c>
      <c r="C21" s="2" t="inlineStr">
        <is>
          <t>arXiv WP (Dec 2025)</t>
        </is>
      </c>
      <c r="D21" s="2" t="inlineStr">
        <is>
          <t>Limits-to-learning gap: empirical fit understates true predictability</t>
        </is>
      </c>
      <c r="E21" s="2" t="inlineStr">
        <is>
          <t>How we interpret small R2 and IC</t>
        </is>
      </c>
      <c r="F21" s="2" t="inlineStr">
        <is>
          <t>Cited as a caveat; no overlap of claim</t>
        </is>
      </c>
      <c r="G21" s="2" t="inlineStr">
        <is>
          <t>Low</t>
        </is>
      </c>
      <c r="H21" s="2" t="inlineStr">
        <is>
          <t>Sep 2026</t>
        </is>
      </c>
    </row>
    <row r="22">
      <c r="A22" s="2" t="inlineStr">
        <is>
          <t>21</t>
        </is>
      </c>
      <c r="B22" s="2" t="inlineStr">
        <is>
          <t>SPO2026</t>
        </is>
      </c>
      <c r="C22" s="2" t="inlineStr">
        <is>
          <t>arXiv WP (2026)</t>
        </is>
      </c>
      <c r="D22" s="2" t="inlineStr">
        <is>
          <t>Decision-focused (SPO) portfolio learning inflates predictions and turnover; proposes clipping, rescaling, partial adjustment</t>
        </is>
      </c>
      <c r="E22" s="2" t="inlineStr">
        <is>
          <t>Our economic-objective cells</t>
        </is>
      </c>
      <c r="F22" s="2" t="inlineStr">
        <is>
          <t>We adopt the controls and report inflation as a diagnostic, since the objective axis is precisely what we are testing</t>
        </is>
      </c>
      <c r="G22" s="2" t="inlineStr">
        <is>
          <t>Medium</t>
        </is>
      </c>
      <c r="H22" s="2" t="inlineStr">
        <is>
          <t>Sep 2026</t>
        </is>
      </c>
    </row>
    <row r="23">
      <c r="A23" s="2" t="inlineStr">
        <is>
          <t>22</t>
        </is>
      </c>
      <c r="B23" s="2" t="inlineStr">
        <is>
          <t>CPPS2024</t>
        </is>
      </c>
      <c r="C23" s="2" t="inlineStr">
        <is>
          <t>arXiv WP (2024, rev. 2025)</t>
        </is>
      </c>
      <c r="D23" s="2" t="inlineStr">
        <is>
          <t>Conformal prediction intervals for portfolio selection</t>
        </is>
      </c>
      <c r="E23" s="2" t="inlineStr">
        <is>
          <t>Our uncertainty level D2</t>
        </is>
      </c>
      <c r="F23" s="2" t="inlineStr">
        <is>
          <t>We use conformal as a calibrated input to a cost-aware optimiser and compare it against ensemble dispersion inside the factorial design</t>
        </is>
      </c>
      <c r="G23" s="2" t="inlineStr">
        <is>
          <t>Medium</t>
        </is>
      </c>
      <c r="H23" s="2" t="inlineStr">
        <is>
          <t>Sep 2026</t>
        </is>
      </c>
    </row>
    <row r="24">
      <c r="A24" s="2" t="inlineStr">
        <is>
          <t>23</t>
        </is>
      </c>
      <c r="B24" s="2" t="inlineStr">
        <is>
          <t>SERT2025</t>
        </is>
      </c>
      <c r="C24" s="2" t="inlineStr">
        <is>
          <t>arXiv WP (May 2025)</t>
        </is>
      </c>
      <c r="D24" s="2" t="inlineStr">
        <is>
          <t>Transformer variants for US large-cap pricing; high reported out-of-sample R2</t>
        </is>
      </c>
      <c r="E24" s="2" t="inlineStr">
        <is>
          <t>Our attention rung (A4)</t>
        </is>
      </c>
      <c r="F24" s="2" t="inlineStr">
        <is>
          <t>Ours is a cross-sectional attention block inside a cost-aware comparison, not a standalone architecture claim</t>
        </is>
      </c>
      <c r="G24" s="2" t="inlineStr">
        <is>
          <t>Low-Medium</t>
        </is>
      </c>
      <c r="H24" s="2" t="inlineStr">
        <is>
          <t>Sep 2026</t>
        </is>
      </c>
    </row>
    <row r="25">
      <c r="A25" s="2" t="inlineStr">
        <is>
          <t>24</t>
        </is>
      </c>
      <c r="B25" s="2" t="inlineStr">
        <is>
          <t>FMYY2025</t>
        </is>
      </c>
      <c r="C25" s="2" t="inlineStr">
        <is>
          <t>arXiv WP (Dec 2024, rev. 2025)</t>
        </is>
      </c>
      <c r="D25" s="2" t="inlineStr">
        <is>
          <t>Cost-aware mean-variance with nonconvex penalties in large universes; S&amp;P 500 and Russell 2000</t>
        </is>
      </c>
      <c r="E25" s="2" t="inlineStr">
        <is>
          <t>Our optimiser stage</t>
        </is>
      </c>
      <c r="F25" s="2" t="inlineStr">
        <is>
          <t>Optimisation methodology, not attribution; we can cite it as an alternative cost-aware optimiser</t>
        </is>
      </c>
      <c r="G25" s="2" t="inlineStr">
        <is>
          <t>Low-Medium</t>
        </is>
      </c>
      <c r="H25" s="2" t="inlineStr">
        <is>
          <t>Sep 2026</t>
        </is>
      </c>
    </row>
  </sheetData>
  <autoFilter ref="A1:H25"/>
  <conditionalFormatting sqref="G2:G25">
    <cfRule type="expression" priority="1" dxfId="3">
      <formula>ISNUMBER(SEARCH("High",$G2))</formula>
    </cfRule>
    <cfRule type="expression" priority="2" dxfId="2">
      <formula>ISNUMBER(SEARCH("Medium",$G2))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Evidence conventions</t>
        </is>
      </c>
    </row>
    <row r="2">
      <c r="A2" s="6" t="inlineStr">
        <is>
          <t>Applies to every text field in the Literature sheet</t>
        </is>
      </c>
    </row>
    <row r="4">
      <c r="A4" s="7" t="inlineStr">
        <is>
          <t>Plain statement</t>
        </is>
      </c>
      <c r="B4" s="9" t="inlineStr">
        <is>
          <t>Verified from abstract, publisher page, authors' repository or search summary of those sources</t>
        </is>
      </c>
    </row>
    <row r="5">
      <c r="A5" s="7" t="inlineStr">
        <is>
          <t>[inference]</t>
        </is>
      </c>
      <c r="B5" s="9" t="inlineStr">
        <is>
          <t>Research team's reading or synthesis; not a claim by the authors</t>
        </is>
      </c>
    </row>
    <row r="6">
      <c r="A6" s="7" t="inlineStr">
        <is>
          <t>[verify]</t>
        </is>
      </c>
      <c r="B6" s="9" t="inlineStr">
        <is>
          <t>Could not be confirmed from an accessible primary source; check full text before citing</t>
        </is>
      </c>
    </row>
    <row r="7">
      <c r="A7" s="7" t="inlineStr">
        <is>
          <t>Relevance 1-5</t>
        </is>
      </c>
      <c r="B7" s="9" t="inlineStr">
        <is>
          <t>Team judgement of relevance to the selected research design</t>
        </is>
      </c>
    </row>
    <row r="8">
      <c r="A8" s="7" t="inlineStr">
        <is>
          <t>DOI Verification Status</t>
        </is>
      </c>
      <c r="B8" s="9" t="inlineStr">
        <is>
          <t>How the DOI was obtained; see 08_References/crossref_verification.csv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2026-09-18T21:06:31Z</dcterms:created>
  <dcterms:modified xmlns:dcterms="http://purl.org/dc/terms/" xmlns:xsi="http://www.w3.org/2001/XMLSchema-instance" xsi:type="dcterms:W3CDTF">2026-09-18T21:06:31Z</dcterms:modified>
</cp:coreProperties>
</file>